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202609" sheetId="1" state="visible" r:id="rId1"/>
    <sheet name="202610" sheetId="2" state="visible" r:id="rId2"/>
    <sheet name="202611" sheetId="3" state="visible" r:id="rId3"/>
    <sheet name="202612" sheetId="4" state="visible" r:id="rId4"/>
    <sheet name="202701" sheetId="5" state="visible" r:id="rId5"/>
    <sheet name="202702" sheetId="6" state="visible" r:id="rId6"/>
    <sheet name="202703" sheetId="7" state="visible" r:id="rId7"/>
    <sheet name="202704" sheetId="8" state="visible" r:id="rId8"/>
    <sheet name="202705" sheetId="9" state="visible" r:id="rId9"/>
    <sheet name="202706" sheetId="10" state="visible" r:id="rId10"/>
    <sheet name="202707" sheetId="11" state="visible" r:id="rId11"/>
    <sheet name="202708" sheetId="12" state="visible" r:id="rId12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m/d"/>
  </numFmts>
  <fonts count="5">
    <font>
      <name val="Carlito"/>
      <sz val="11"/>
    </font>
    <font>
      <name val="Yu Gothic"/>
      <color rgb="FF111827"/>
      <sz val="10"/>
    </font>
    <font>
      <name val="Yu Gothic"/>
      <b val="1"/>
      <color rgb="FFFFFFFF"/>
      <sz val="12"/>
    </font>
    <font>
      <name val="Yu Gothic"/>
      <b val="1"/>
      <color rgb="FF111827"/>
      <sz val="10"/>
    </font>
    <font>
      <name val="Yu Gothic"/>
      <b val="1"/>
      <color rgb="FFFFFFFF"/>
      <sz val="10"/>
    </font>
  </fonts>
  <fills count="12">
    <fill>
      <patternFill/>
    </fill>
    <fill>
      <patternFill patternType="gray125"/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FFF4D6"/>
      </patternFill>
    </fill>
    <fill>
      <patternFill patternType="solid">
        <fgColor rgb="FF2E7D32"/>
      </patternFill>
    </fill>
    <fill>
      <patternFill patternType="solid">
        <fgColor rgb="FFB91C1C"/>
      </patternFill>
    </fill>
    <fill>
      <patternFill patternType="solid">
        <fgColor rgb="FF3F327A"/>
      </patternFill>
    </fill>
    <fill>
      <patternFill patternType="solid">
        <fgColor rgb="FFFFF3CD"/>
      </patternFill>
    </fill>
    <fill>
      <patternFill patternType="solid">
        <fgColor rgb="FFEEEAFB"/>
      </patternFill>
    </fill>
    <fill>
      <patternFill patternType="solid">
        <fgColor rgb="FFF3F4F6"/>
      </patternFill>
    </fill>
  </fills>
  <borders count="28">
    <border/>
    <border>
      <left style="medium">
        <color rgb="FF52606D"/>
      </left>
      <top style="medium">
        <color rgb="FF52606D"/>
      </top>
      <bottom style="medium">
        <color rgb="FF52606D"/>
      </bottom>
    </border>
    <border>
      <right style="medium">
        <color rgb="FF52606D"/>
      </right>
      <top style="medium">
        <color rgb="FF52606D"/>
      </top>
      <bottom style="medium">
        <color rgb="FF52606D"/>
      </bottom>
    </border>
    <border>
      <left style="thin">
        <color rgb="FFC8D0D8"/>
      </left>
      <right style="thin">
        <color rgb="FFC8D0D8"/>
      </right>
      <top style="thin">
        <color rgb="FFC8D0D8"/>
      </top>
      <bottom style="thin">
        <color rgb="FFC8D0D8"/>
      </bottom>
    </border>
    <border>
      <left style="medium">
        <color rgb="FF52606D"/>
      </left>
      <top style="medium">
        <color rgb="FF52606D"/>
      </top>
    </border>
    <border>
      <top style="medium">
        <color rgb="FF52606D"/>
      </top>
    </border>
    <border>
      <right style="medium">
        <color rgb="FF52606D"/>
      </right>
      <top style="medium">
        <color rgb="FF52606D"/>
      </top>
    </border>
    <border>
      <left style="medium">
        <color rgb="FF52606D"/>
      </left>
    </border>
    <border>
      <right style="medium">
        <color rgb="FF52606D"/>
      </right>
    </border>
    <border>
      <left style="medium">
        <color rgb="FF52606D"/>
      </left>
      <bottom style="medium">
        <color rgb="FF52606D"/>
      </bottom>
    </border>
    <border>
      <bottom style="medium">
        <color rgb="FF52606D"/>
      </bottom>
    </border>
    <border>
      <right style="medium">
        <color rgb="FF52606D"/>
      </right>
      <bottom style="medium">
        <color rgb="FF52606D"/>
      </bottom>
    </border>
    <border>
      <left style="medium">
        <color rgb="FF52606D"/>
      </left>
      <right style="medium">
        <color rgb="FF52606D"/>
      </right>
      <top style="medium">
        <color rgb="FF52606D"/>
      </top>
    </border>
    <border>
      <left style="medium">
        <color rgb="FF52606D"/>
      </left>
      <right style="medium">
        <color rgb="FF52606D"/>
      </right>
      <bottom style="medium">
        <color rgb="FF52606D"/>
      </bottom>
    </border>
    <border>
      <left style="medium">
        <color rgb="FF52606D"/>
      </left>
      <right style="medium">
        <color rgb="FF52606D"/>
      </right>
    </border>
    <border>
      <left style="thin">
        <color rgb="FFC8D0D8"/>
      </left>
      <right style="thin">
        <color rgb="FFC8D0D8"/>
      </right>
      <top style="medium">
        <color rgb="FF52606D"/>
      </top>
      <bottom style="thin">
        <color rgb="FFC8D0D8"/>
      </bottom>
    </border>
    <border>
      <left style="thin">
        <color rgb="FFC8D0D8"/>
      </left>
      <right style="medium">
        <color rgb="FF52606D"/>
      </right>
      <top style="medium">
        <color rgb="FF52606D"/>
      </top>
      <bottom style="thin">
        <color rgb="FFC8D0D8"/>
      </bottom>
    </border>
    <border>
      <left style="thin">
        <color rgb="FFC8D0D8"/>
      </left>
      <right style="medium">
        <color rgb="FF52606D"/>
      </right>
      <top style="thin">
        <color rgb="FFC8D0D8"/>
      </top>
      <bottom style="thin">
        <color rgb="FFC8D0D8"/>
      </bottom>
    </border>
    <border>
      <left style="thin">
        <color rgb="FFC8D0D8"/>
      </left>
      <right style="thin">
        <color rgb="FFC8D0D8"/>
      </right>
      <top style="thin">
        <color rgb="FFC8D0D8"/>
      </top>
      <bottom style="medium">
        <color rgb="FF52606D"/>
      </bottom>
    </border>
    <border>
      <left style="thin">
        <color rgb="FFC8D0D8"/>
      </left>
      <right style="medium">
        <color rgb="FF52606D"/>
      </right>
      <top style="thin">
        <color rgb="FFC8D0D8"/>
      </top>
      <bottom style="medium">
        <color rgb="FF52606D"/>
      </bottom>
    </border>
    <border>
      <left style="medium">
        <color rgb="FF52606D"/>
      </left>
      <right style="medium">
        <color rgb="FF52606D"/>
      </right>
      <top style="medium">
        <color rgb="FF52606D"/>
      </top>
      <bottom style="medium">
        <color rgb="FF52606D"/>
      </bottom>
    </border>
    <border>
      <top style="thin">
        <color rgb="FFC8D0D8"/>
      </top>
    </border>
    <border>
      <right style="thin">
        <color rgb="FFC8D0D8"/>
      </right>
      <top style="thin">
        <color rgb="FFC8D0D8"/>
      </top>
    </border>
    <border>
      <top style="thin">
        <color rgb="FFC8D0D8"/>
      </top>
      <bottom style="thin">
        <color rgb="FFC8D0D8"/>
      </bottom>
    </border>
    <border>
      <right style="thin">
        <color rgb="FFC8D0D8"/>
      </right>
      <top style="thin">
        <color rgb="FFC8D0D8"/>
      </top>
      <bottom style="thin">
        <color rgb="FFC8D0D8"/>
      </bottom>
    </border>
    <border>
      <left style="thin">
        <color rgb="FFC8D0D8"/>
      </left>
    </border>
    <border>
      <left style="thin">
        <color rgb="FFC8D0D8"/>
      </left>
      <right style="thin">
        <color rgb="FFC8D0D8"/>
      </right>
    </border>
    <border>
      <left style="thin">
        <color rgb="FFC8D0D8"/>
      </left>
      <right style="thin">
        <color rgb="FFC8D0D8"/>
      </right>
      <bottom style="thin">
        <color rgb="FFC8D0D8"/>
      </bottom>
    </border>
  </borders>
  <cellStyleXfs count="1">
    <xf numFmtId="0" fontId="0" fillId="0" borderId="0"/>
  </cellStyleXfs>
  <cellXfs count="150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2" fillId="2" borderId="2" pivotButton="0" quotePrefix="0" xfId="0"/>
    <xf numFmtId="0" fontId="2" fillId="2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" fillId="3" borderId="0" pivotButton="0" quotePrefix="0" xfId="0"/>
    <xf numFmtId="0" fontId="3" fillId="3" borderId="0" pivotButton="0" quotePrefix="0" xfId="0"/>
    <xf numFmtId="0" fontId="3" fillId="3" borderId="3" pivotButton="0" quotePrefix="0" xfId="0"/>
    <xf numFmtId="0" fontId="1" fillId="4" borderId="0" pivotButton="0" quotePrefix="0" xfId="0"/>
    <xf numFmtId="0" fontId="1" fillId="4" borderId="3" pivotButton="0" quotePrefix="0" xfId="0"/>
    <xf numFmtId="0" fontId="1" fillId="4" borderId="3" applyAlignment="1" pivotButton="0" quotePrefix="0" xfId="0">
      <alignment horizontal="center"/>
    </xf>
    <xf numFmtId="0" fontId="1" fillId="4" borderId="3" applyAlignment="1" pivotButton="0" quotePrefix="0" xfId="0">
      <alignment horizontal="center" vertical="center"/>
    </xf>
    <xf numFmtId="3" fontId="1" fillId="4" borderId="3" applyAlignment="1" pivotButton="0" quotePrefix="0" xfId="0">
      <alignment horizontal="center" vertical="center"/>
    </xf>
    <xf numFmtId="164" fontId="1" fillId="4" borderId="3" applyAlignment="1" pivotButton="0" quotePrefix="0" xfId="0">
      <alignment horizontal="center" vertical="center"/>
    </xf>
    <xf numFmtId="0" fontId="1" fillId="5" borderId="0" pivotButton="0" quotePrefix="0" xfId="0"/>
    <xf numFmtId="0" fontId="1" fillId="5" borderId="4" pivotButton="0" quotePrefix="0" xfId="0"/>
    <xf numFmtId="0" fontId="1" fillId="5" borderId="5" pivotButton="0" quotePrefix="0" xfId="0"/>
    <xf numFmtId="0" fontId="1" fillId="5" borderId="6" pivotButton="0" quotePrefix="0" xfId="0"/>
    <xf numFmtId="0" fontId="1" fillId="5" borderId="7" pivotButton="0" quotePrefix="0" xfId="0"/>
    <xf numFmtId="0" fontId="1" fillId="5" borderId="8" pivotButton="0" quotePrefix="0" xfId="0"/>
    <xf numFmtId="0" fontId="1" fillId="5" borderId="9" pivotButton="0" quotePrefix="0" xfId="0"/>
    <xf numFmtId="0" fontId="1" fillId="5" borderId="10" pivotButton="0" quotePrefix="0" xfId="0"/>
    <xf numFmtId="0" fontId="1" fillId="5" borderId="11" pivotButton="0" quotePrefix="0" xfId="0"/>
    <xf numFmtId="0" fontId="1" fillId="5" borderId="4" applyAlignment="1" pivotButton="0" quotePrefix="0" xfId="0">
      <alignment wrapText="1"/>
    </xf>
    <xf numFmtId="0" fontId="1" fillId="5" borderId="5" applyAlignment="1" pivotButton="0" quotePrefix="0" xfId="0">
      <alignment wrapText="1"/>
    </xf>
    <xf numFmtId="0" fontId="1" fillId="5" borderId="6" applyAlignment="1" pivotButton="0" quotePrefix="0" xfId="0">
      <alignment wrapText="1"/>
    </xf>
    <xf numFmtId="0" fontId="1" fillId="5" borderId="7" applyAlignment="1" pivotButton="0" quotePrefix="0" xfId="0">
      <alignment wrapText="1"/>
    </xf>
    <xf numFmtId="0" fontId="1" fillId="5" borderId="0" applyAlignment="1" pivotButton="0" quotePrefix="0" xfId="0">
      <alignment wrapText="1"/>
    </xf>
    <xf numFmtId="0" fontId="1" fillId="5" borderId="8" applyAlignment="1" pivotButton="0" quotePrefix="0" xfId="0">
      <alignment wrapText="1"/>
    </xf>
    <xf numFmtId="0" fontId="1" fillId="5" borderId="9" applyAlignment="1" pivotButton="0" quotePrefix="0" xfId="0">
      <alignment wrapText="1"/>
    </xf>
    <xf numFmtId="0" fontId="1" fillId="5" borderId="10" applyAlignment="1" pivotButton="0" quotePrefix="0" xfId="0">
      <alignment wrapText="1"/>
    </xf>
    <xf numFmtId="0" fontId="1" fillId="5" borderId="11" applyAlignment="1" pivotButton="0" quotePrefix="0" xfId="0">
      <alignment wrapText="1"/>
    </xf>
    <xf numFmtId="0" fontId="1" fillId="5" borderId="4" applyAlignment="1" pivotButton="0" quotePrefix="0" xfId="0">
      <alignment vertical="top" wrapText="1"/>
    </xf>
    <xf numFmtId="0" fontId="1" fillId="5" borderId="5" applyAlignment="1" pivotButton="0" quotePrefix="0" xfId="0">
      <alignment vertical="top" wrapText="1"/>
    </xf>
    <xf numFmtId="0" fontId="1" fillId="5" borderId="6" applyAlignment="1" pivotButton="0" quotePrefix="0" xfId="0">
      <alignment vertical="top" wrapText="1"/>
    </xf>
    <xf numFmtId="0" fontId="1" fillId="5" borderId="7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5" borderId="8" applyAlignment="1" pivotButton="0" quotePrefix="0" xfId="0">
      <alignment vertical="top" wrapText="1"/>
    </xf>
    <xf numFmtId="0" fontId="1" fillId="5" borderId="9" applyAlignment="1" pivotButton="0" quotePrefix="0" xfId="0">
      <alignment vertical="top" wrapText="1"/>
    </xf>
    <xf numFmtId="0" fontId="1" fillId="5" borderId="10" applyAlignment="1" pivotButton="0" quotePrefix="0" xfId="0">
      <alignment vertical="top" wrapText="1"/>
    </xf>
    <xf numFmtId="0" fontId="1" fillId="5" borderId="11" applyAlignment="1" pivotButton="0" quotePrefix="0" xfId="0">
      <alignment vertical="top" wrapText="1"/>
    </xf>
    <xf numFmtId="0" fontId="1" fillId="6" borderId="0" pivotButton="0" quotePrefix="0" xfId="0"/>
    <xf numFmtId="0" fontId="4" fillId="6" borderId="0" pivotButton="0" quotePrefix="0" xfId="0"/>
    <xf numFmtId="0" fontId="4" fillId="6" borderId="12" pivotButton="0" quotePrefix="0" xfId="0"/>
    <xf numFmtId="0" fontId="4" fillId="6" borderId="13" pivotButton="0" quotePrefix="0" xfId="0"/>
    <xf numFmtId="0" fontId="4" fillId="6" borderId="12" applyAlignment="1" pivotButton="0" quotePrefix="0" xfId="0">
      <alignment wrapText="1"/>
    </xf>
    <xf numFmtId="0" fontId="4" fillId="6" borderId="13" applyAlignment="1" pivotButton="0" quotePrefix="0" xfId="0">
      <alignment wrapText="1"/>
    </xf>
    <xf numFmtId="0" fontId="4" fillId="6" borderId="12" applyAlignment="1" pivotButton="0" quotePrefix="0" xfId="0">
      <alignment horizontal="center" wrapText="1"/>
    </xf>
    <xf numFmtId="0" fontId="4" fillId="6" borderId="13" applyAlignment="1" pivotButton="0" quotePrefix="0" xfId="0">
      <alignment horizontal="center" wrapText="1"/>
    </xf>
    <xf numFmtId="0" fontId="4" fillId="6" borderId="12" applyAlignment="1" pivotButton="0" quotePrefix="0" xfId="0">
      <alignment horizontal="center" vertical="center" wrapText="1"/>
    </xf>
    <xf numFmtId="0" fontId="4" fillId="6" borderId="13" applyAlignment="1" pivotButton="0" quotePrefix="0" xfId="0">
      <alignment horizontal="center" vertical="center" wrapText="1"/>
    </xf>
    <xf numFmtId="0" fontId="4" fillId="2" borderId="0" pivotButton="0" quotePrefix="0" xfId="0"/>
    <xf numFmtId="0" fontId="4" fillId="2" borderId="3" pivotButton="0" quotePrefix="0" xfId="0"/>
    <xf numFmtId="0" fontId="4" fillId="2" borderId="3" applyAlignment="1" pivotButton="0" quotePrefix="0" xfId="0">
      <alignment wrapText="1"/>
    </xf>
    <xf numFmtId="0" fontId="4" fillId="2" borderId="3" applyAlignment="1" pivotButton="0" quotePrefix="0" xfId="0">
      <alignment horizontal="center" wrapText="1"/>
    </xf>
    <xf numFmtId="0" fontId="4" fillId="2" borderId="3" applyAlignment="1" pivotButton="0" quotePrefix="0" xfId="0">
      <alignment horizontal="center" vertical="center" wrapText="1"/>
    </xf>
    <xf numFmtId="0" fontId="1" fillId="7" borderId="0" pivotButton="0" quotePrefix="0" xfId="0"/>
    <xf numFmtId="0" fontId="4" fillId="7" borderId="0" pivotButton="0" quotePrefix="0" xfId="0"/>
    <xf numFmtId="0" fontId="4" fillId="7" borderId="3" pivotButton="0" quotePrefix="0" xfId="0"/>
    <xf numFmtId="0" fontId="4" fillId="7" borderId="3" applyAlignment="1" pivotButton="0" quotePrefix="0" xfId="0">
      <alignment wrapText="1"/>
    </xf>
    <xf numFmtId="0" fontId="4" fillId="7" borderId="3" applyAlignment="1" pivotButton="0" quotePrefix="0" xfId="0">
      <alignment horizontal="center" wrapText="1"/>
    </xf>
    <xf numFmtId="0" fontId="4" fillId="7" borderId="3" applyAlignment="1" pivotButton="0" quotePrefix="0" xfId="0">
      <alignment horizontal="center" vertical="center" wrapText="1"/>
    </xf>
    <xf numFmtId="0" fontId="1" fillId="8" borderId="0" pivotButton="0" quotePrefix="0" xfId="0"/>
    <xf numFmtId="0" fontId="4" fillId="8" borderId="0" pivotButton="0" quotePrefix="0" xfId="0"/>
    <xf numFmtId="0" fontId="4" fillId="8" borderId="3" pivotButton="0" quotePrefix="0" xfId="0"/>
    <xf numFmtId="0" fontId="4" fillId="8" borderId="3" applyAlignment="1" pivotButton="0" quotePrefix="0" xfId="0">
      <alignment wrapText="1"/>
    </xf>
    <xf numFmtId="0" fontId="4" fillId="8" borderId="3" applyAlignment="1" pivotButton="0" quotePrefix="0" xfId="0">
      <alignment horizontal="center" wrapText="1"/>
    </xf>
    <xf numFmtId="0" fontId="4" fillId="8" borderId="3" applyAlignment="1" pivotButton="0" quotePrefix="0" xfId="0">
      <alignment horizontal="center" vertical="center" wrapText="1"/>
    </xf>
    <xf numFmtId="0" fontId="1" fillId="9" borderId="0" pivotButton="0" quotePrefix="0" xfId="0"/>
    <xf numFmtId="0" fontId="3" fillId="9" borderId="0" pivotButton="0" quotePrefix="0" xfId="0"/>
    <xf numFmtId="0" fontId="3" fillId="9" borderId="12" pivotButton="0" quotePrefix="0" xfId="0"/>
    <xf numFmtId="0" fontId="3" fillId="9" borderId="14" pivotButton="0" quotePrefix="0" xfId="0"/>
    <xf numFmtId="0" fontId="3" fillId="9" borderId="13" pivotButton="0" quotePrefix="0" xfId="0"/>
    <xf numFmtId="0" fontId="3" fillId="9" borderId="12" applyAlignment="1" pivotButton="0" quotePrefix="0" xfId="0">
      <alignment horizontal="center"/>
    </xf>
    <xf numFmtId="0" fontId="3" fillId="9" borderId="14" applyAlignment="1" pivotButton="0" quotePrefix="0" xfId="0">
      <alignment horizontal="center"/>
    </xf>
    <xf numFmtId="0" fontId="3" fillId="9" borderId="13" applyAlignment="1" pivotButton="0" quotePrefix="0" xfId="0">
      <alignment horizontal="center"/>
    </xf>
    <xf numFmtId="0" fontId="3" fillId="9" borderId="12" applyAlignment="1" pivotButton="0" quotePrefix="0" xfId="0">
      <alignment horizontal="center" vertical="center"/>
    </xf>
    <xf numFmtId="0" fontId="3" fillId="9" borderId="14" applyAlignment="1" pivotButton="0" quotePrefix="0" xfId="0">
      <alignment horizontal="center" vertical="center"/>
    </xf>
    <xf numFmtId="0" fontId="3" fillId="9" borderId="13" applyAlignment="1" pivotButton="0" quotePrefix="0" xfId="0">
      <alignment horizontal="center" vertical="center"/>
    </xf>
    <xf numFmtId="0" fontId="1" fillId="10" borderId="0" pivotButton="0" quotePrefix="0" xfId="0"/>
    <xf numFmtId="0" fontId="3" fillId="10" borderId="0" pivotButton="0" quotePrefix="0" xfId="0"/>
    <xf numFmtId="0" fontId="3" fillId="10" borderId="3" pivotButton="0" quotePrefix="0" xfId="0"/>
    <xf numFmtId="0" fontId="3" fillId="10" borderId="3" applyAlignment="1" pivotButton="0" quotePrefix="0" xfId="0">
      <alignment horizontal="center"/>
    </xf>
    <xf numFmtId="0" fontId="3" fillId="10" borderId="3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3" fillId="10" borderId="15" applyAlignment="1" pivotButton="0" quotePrefix="0" xfId="0">
      <alignment horizontal="center" vertical="center"/>
    </xf>
    <xf numFmtId="0" fontId="1" fillId="4" borderId="16" applyAlignment="1" pivotButton="0" quotePrefix="0" xfId="0">
      <alignment horizontal="center" vertical="center"/>
    </xf>
    <xf numFmtId="0" fontId="1" fillId="4" borderId="17" applyAlignment="1" pivotButton="0" quotePrefix="0" xfId="0">
      <alignment horizontal="center" vertical="center"/>
    </xf>
    <xf numFmtId="0" fontId="1" fillId="4" borderId="18" applyAlignment="1" pivotButton="0" quotePrefix="0" xfId="0">
      <alignment horizontal="center" vertical="center"/>
    </xf>
    <xf numFmtId="0" fontId="3" fillId="10" borderId="18" applyAlignment="1" pivotButton="0" quotePrefix="0" xfId="0">
      <alignment horizontal="center" vertical="center"/>
    </xf>
    <xf numFmtId="0" fontId="1" fillId="4" borderId="19" applyAlignment="1" pivotButton="0" quotePrefix="0" xfId="0">
      <alignment horizontal="center" vertical="center"/>
    </xf>
    <xf numFmtId="165" fontId="3" fillId="9" borderId="12" applyAlignment="1" pivotButton="0" quotePrefix="0" xfId="0">
      <alignment horizontal="center" vertical="center"/>
    </xf>
    <xf numFmtId="164" fontId="1" fillId="4" borderId="15" applyAlignment="1" pivotButton="0" quotePrefix="0" xfId="0">
      <alignment horizontal="center" vertical="center"/>
    </xf>
    <xf numFmtId="3" fontId="1" fillId="4" borderId="15" applyAlignment="1" pivotButton="0" quotePrefix="0" xfId="0">
      <alignment horizontal="center" vertical="center"/>
    </xf>
    <xf numFmtId="0" fontId="1" fillId="11" borderId="0" pivotButton="0" quotePrefix="0" xfId="0"/>
    <xf numFmtId="0" fontId="3" fillId="11" borderId="0" pivotButton="0" quotePrefix="0" xfId="0"/>
    <xf numFmtId="0" fontId="3" fillId="11" borderId="12" pivotButton="0" quotePrefix="0" xfId="0"/>
    <xf numFmtId="0" fontId="3" fillId="11" borderId="14" pivotButton="0" quotePrefix="0" xfId="0"/>
    <xf numFmtId="0" fontId="3" fillId="11" borderId="13" pivotButton="0" quotePrefix="0" xfId="0"/>
    <xf numFmtId="0" fontId="3" fillId="11" borderId="12" applyAlignment="1" pivotButton="0" quotePrefix="0" xfId="0">
      <alignment horizontal="center"/>
    </xf>
    <xf numFmtId="0" fontId="3" fillId="11" borderId="14" applyAlignment="1" pivotButton="0" quotePrefix="0" xfId="0">
      <alignment horizontal="center"/>
    </xf>
    <xf numFmtId="0" fontId="3" fillId="11" borderId="13" applyAlignment="1" pivotButton="0" quotePrefix="0" xfId="0">
      <alignment horizontal="center"/>
    </xf>
    <xf numFmtId="0" fontId="3" fillId="11" borderId="12" applyAlignment="1" pivotButton="0" quotePrefix="0" xfId="0">
      <alignment horizontal="center" vertical="center"/>
    </xf>
    <xf numFmtId="0" fontId="3" fillId="11" borderId="14" applyAlignment="1" pivotButton="0" quotePrefix="0" xfId="0">
      <alignment horizontal="center" vertical="center"/>
    </xf>
    <xf numFmtId="0" fontId="3" fillId="11" borderId="13" applyAlignment="1" pivotButton="0" quotePrefix="0" xfId="0">
      <alignment horizontal="center" vertical="center"/>
    </xf>
    <xf numFmtId="0" fontId="1" fillId="11" borderId="3" pivotButton="0" quotePrefix="0" xfId="0"/>
    <xf numFmtId="0" fontId="1" fillId="11" borderId="3" applyAlignment="1" pivotButton="0" quotePrefix="0" xfId="0">
      <alignment horizontal="center"/>
    </xf>
    <xf numFmtId="0" fontId="1" fillId="11" borderId="3" applyAlignment="1" pivotButton="0" quotePrefix="0" xfId="0">
      <alignment horizontal="center" vertical="center"/>
    </xf>
    <xf numFmtId="0" fontId="3" fillId="11" borderId="3" pivotButton="0" quotePrefix="0" xfId="0"/>
    <xf numFmtId="0" fontId="3" fillId="11" borderId="3" applyAlignment="1" pivotButton="0" quotePrefix="0" xfId="0">
      <alignment horizontal="center"/>
    </xf>
    <xf numFmtId="0" fontId="3" fillId="11" borderId="3" applyAlignment="1" pivotButton="0" quotePrefix="0" xfId="0">
      <alignment horizontal="center" vertical="center"/>
    </xf>
    <xf numFmtId="0" fontId="1" fillId="11" borderId="15" applyAlignment="1" pivotButton="0" quotePrefix="0" xfId="0">
      <alignment horizontal="center" vertical="center"/>
    </xf>
    <xf numFmtId="0" fontId="3" fillId="11" borderId="15" applyAlignment="1" pivotButton="0" quotePrefix="0" xfId="0">
      <alignment horizontal="center" vertical="center"/>
    </xf>
    <xf numFmtId="0" fontId="1" fillId="11" borderId="16" applyAlignment="1" pivotButton="0" quotePrefix="0" xfId="0">
      <alignment horizontal="center" vertical="center"/>
    </xf>
    <xf numFmtId="0" fontId="1" fillId="11" borderId="17" applyAlignment="1" pivotButton="0" quotePrefix="0" xfId="0">
      <alignment horizontal="center" vertical="center"/>
    </xf>
    <xf numFmtId="0" fontId="1" fillId="11" borderId="18" applyAlignment="1" pivotButton="0" quotePrefix="0" xfId="0">
      <alignment horizontal="center" vertical="center"/>
    </xf>
    <xf numFmtId="0" fontId="3" fillId="11" borderId="18" applyAlignment="1" pivotButton="0" quotePrefix="0" xfId="0">
      <alignment horizontal="center" vertical="center"/>
    </xf>
    <xf numFmtId="0" fontId="1" fillId="11" borderId="19" applyAlignment="1" pivotButton="0" quotePrefix="0" xfId="0">
      <alignment horizontal="center" vertical="center"/>
    </xf>
    <xf numFmtId="165" fontId="3" fillId="11" borderId="12" applyAlignment="1" pivotButton="0" quotePrefix="0" xfId="0">
      <alignment horizontal="center" vertical="center"/>
    </xf>
    <xf numFmtId="164" fontId="1" fillId="11" borderId="15" applyAlignment="1" pivotButton="0" quotePrefix="0" xfId="0">
      <alignment horizontal="center" vertical="center"/>
    </xf>
    <xf numFmtId="3" fontId="1" fillId="11" borderId="15" applyAlignment="1" pivotButton="0" quotePrefix="0" xfId="0">
      <alignment horizontal="center" vertical="center"/>
    </xf>
    <xf numFmtId="0" fontId="2" fillId="2" borderId="20" applyAlignment="1" pivotButton="0" quotePrefix="0" xfId="0">
      <alignment horizontal="center" vertical="center"/>
    </xf>
    <xf numFmtId="0" fontId="0" fillId="0" borderId="2" pivotButton="0" quotePrefix="0" xfId="0"/>
    <xf numFmtId="0" fontId="1" fillId="5" borderId="20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3" fontId="1" fillId="4" borderId="3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164" fontId="1" fillId="4" borderId="3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23" pivotButton="0" quotePrefix="0" xfId="0"/>
    <xf numFmtId="0" fontId="0" fillId="0" borderId="24" pivotButton="0" quotePrefix="0" xfId="0"/>
    <xf numFmtId="165" fontId="3" fillId="9" borderId="20" applyAlignment="1" pivotButton="0" quotePrefix="0" xfId="0">
      <alignment horizontal="center" vertical="center"/>
    </xf>
    <xf numFmtId="164" fontId="1" fillId="4" borderId="15" applyAlignment="1" pivotButton="0" quotePrefix="0" xfId="0">
      <alignment horizontal="center" vertical="center"/>
    </xf>
    <xf numFmtId="3" fontId="1" fillId="4" borderId="1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26" pivotButton="0" quotePrefix="0" xfId="0"/>
    <xf numFmtId="0" fontId="0" fillId="0" borderId="13" pivotButton="0" quotePrefix="0" xfId="0"/>
    <xf numFmtId="0" fontId="0" fillId="0" borderId="27" pivotButton="0" quotePrefix="0" xfId="0"/>
    <xf numFmtId="165" fontId="3" fillId="11" borderId="20" applyAlignment="1" pivotButton="0" quotePrefix="0" xfId="0">
      <alignment horizontal="center" vertical="center"/>
    </xf>
    <xf numFmtId="164" fontId="1" fillId="11" borderId="15" applyAlignment="1" pivotButton="0" quotePrefix="0" xfId="0">
      <alignment horizontal="center" vertical="center"/>
    </xf>
    <xf numFmtId="3" fontId="1" fillId="11" borderId="15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126" t="inlineStr">
        <is>
          <t>競馬 2026年9月成績</t>
        </is>
      </c>
      <c r="C2" s="127" t="n"/>
      <c r="D2" s="1" t="n"/>
      <c r="E2" s="1" t="n"/>
      <c r="F2" s="1" t="n"/>
      <c r="G2" s="1" t="n"/>
      <c r="H2" s="128" t="inlineStr">
        <is>
          <t>【競馬予想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競馬予想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46266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的中</t>
        </is>
      </c>
      <c r="Q12" s="89" t="inlineStr">
        <is>
          <t>ハズレ</t>
        </is>
      </c>
      <c r="R12" s="89" t="inlineStr">
        <is>
          <t>ハズレ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>
        <v>1560</v>
      </c>
      <c r="Q13" s="16" t="n">
        <v>0</v>
      </c>
      <c r="R13" s="16" t="n">
        <v>0</v>
      </c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>
        <v>7</v>
      </c>
      <c r="Q14" s="93" t="n">
        <v>7</v>
      </c>
      <c r="R14" s="93" t="n">
        <v>7</v>
      </c>
      <c r="S14" s="93" t="n"/>
      <c r="T14" s="95" t="n"/>
    </row>
    <row r="15" ht="22" customHeight="1">
      <c r="B15" s="140" t="n">
        <v>46267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46268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46269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46270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46271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46272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46273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46274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46275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46276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46277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46278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46279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46280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46281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46282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46283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46284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46285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46286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46287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46288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46289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46290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46291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46292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46293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46294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46295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7" t="n"/>
      <c r="C102" s="148">
        <f>IFERROR(F102/E102,"-")</f>
        <v/>
      </c>
      <c r="D102" s="148">
        <f>IFERROR(H102/(G102*100),"-")</f>
        <v/>
      </c>
      <c r="E102" s="149">
        <f>SUM(K$12:K102)</f>
        <v/>
      </c>
      <c r="F102" s="149">
        <f>SUM(L$12:L102)</f>
        <v/>
      </c>
      <c r="G102" s="149">
        <f>SUM(M$12:M102)</f>
        <v/>
      </c>
      <c r="H102" s="149">
        <f>SUM(N$12:N102)</f>
        <v/>
      </c>
      <c r="I102" s="148">
        <f>IFERROR(L102/K102,"-")</f>
        <v/>
      </c>
      <c r="J102" s="148">
        <f>IFERROR(N102/(M102*100),"-")</f>
        <v/>
      </c>
      <c r="K102" s="149">
        <f>COUNTIF(P102:T102,"的中")+COUNTIF(P102:T102,"ハズレ")</f>
        <v/>
      </c>
      <c r="L102" s="149">
        <f>COUNTIF(P102:T102,"的中")</f>
        <v/>
      </c>
      <c r="M102" s="149">
        <f>SUM(P104:T104)</f>
        <v/>
      </c>
      <c r="N102" s="149">
        <f>SUMIFS(P103:T103,P102:T102,"的中")</f>
        <v/>
      </c>
      <c r="O102" s="117" t="inlineStr">
        <is>
          <t>結果</t>
        </is>
      </c>
      <c r="P102" s="116" t="n"/>
      <c r="Q102" s="116" t="n"/>
      <c r="R102" s="116" t="n"/>
      <c r="S102" s="116" t="n"/>
      <c r="T102" s="118" t="n"/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115" t="inlineStr">
        <is>
          <t>払戻金</t>
        </is>
      </c>
      <c r="P103" s="112" t="n"/>
      <c r="Q103" s="112" t="n"/>
      <c r="R103" s="112" t="n"/>
      <c r="S103" s="112" t="n"/>
      <c r="T103" s="119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121" t="inlineStr">
        <is>
          <t>購入点数</t>
        </is>
      </c>
      <c r="P104" s="120" t="n"/>
      <c r="Q104" s="120" t="n"/>
      <c r="R104" s="120" t="n"/>
      <c r="S104" s="120" t="n"/>
      <c r="T104" s="122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0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126" t="inlineStr">
        <is>
          <t>競馬 2026年10月成績</t>
        </is>
      </c>
      <c r="C2" s="127" t="n"/>
      <c r="D2" s="1" t="n"/>
      <c r="E2" s="1" t="n"/>
      <c r="F2" s="1" t="n"/>
      <c r="G2" s="1" t="n"/>
      <c r="H2" s="128" t="inlineStr">
        <is>
          <t>【競馬予想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競馬予想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46296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46297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46298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46299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46300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46301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46302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46303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46304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46305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46306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46307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46308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46309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46310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46311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46312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46313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46314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46315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46316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46317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46318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46319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46320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46321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46322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46323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46324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46325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0" t="n">
        <v>46326</v>
      </c>
      <c r="C102" s="141">
        <f>IFERROR(F102/E102,"-")</f>
        <v/>
      </c>
      <c r="D102" s="141">
        <f>IFERROR(H102/(G102*100),"-")</f>
        <v/>
      </c>
      <c r="E102" s="142">
        <f>SUM(K$12:K102)</f>
        <v/>
      </c>
      <c r="F102" s="142">
        <f>SUM(L$12:L102)</f>
        <v/>
      </c>
      <c r="G102" s="142">
        <f>SUM(M$12:M102)</f>
        <v/>
      </c>
      <c r="H102" s="142">
        <f>SUM(N$12:N102)</f>
        <v/>
      </c>
      <c r="I102" s="141">
        <f>IFERROR(L102/K102,"-")</f>
        <v/>
      </c>
      <c r="J102" s="141">
        <f>IFERROR(N102/(M102*100),"-")</f>
        <v/>
      </c>
      <c r="K102" s="142">
        <f>COUNTIF(P102:T102,"的中")+COUNTIF(P102:T102,"ハズレ")</f>
        <v/>
      </c>
      <c r="L102" s="142">
        <f>COUNTIF(P102:T102,"的中")</f>
        <v/>
      </c>
      <c r="M102" s="142">
        <f>SUM(P104:T104)</f>
        <v/>
      </c>
      <c r="N102" s="142">
        <f>SUMIFS(P103:T103,P102:T102,"的中")</f>
        <v/>
      </c>
      <c r="O102" s="90" t="inlineStr">
        <is>
          <t>結果</t>
        </is>
      </c>
      <c r="P102" s="89" t="inlineStr">
        <is>
          <t>未実施</t>
        </is>
      </c>
      <c r="Q102" s="89" t="inlineStr">
        <is>
          <t>未実施</t>
        </is>
      </c>
      <c r="R102" s="89" t="inlineStr">
        <is>
          <t>未実施</t>
        </is>
      </c>
      <c r="S102" s="89" t="inlineStr">
        <is>
          <t>未実施</t>
        </is>
      </c>
      <c r="T102" s="91" t="inlineStr">
        <is>
          <t>未実施</t>
        </is>
      </c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88" t="inlineStr">
        <is>
          <t>払戻金</t>
        </is>
      </c>
      <c r="P103" s="16" t="n"/>
      <c r="Q103" s="16" t="n"/>
      <c r="R103" s="16" t="n"/>
      <c r="S103" s="16" t="n"/>
      <c r="T103" s="92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94" t="inlineStr">
        <is>
          <t>購入点数</t>
        </is>
      </c>
      <c r="P104" s="93" t="n"/>
      <c r="Q104" s="93" t="n"/>
      <c r="R104" s="93" t="n"/>
      <c r="S104" s="93" t="n"/>
      <c r="T104" s="95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2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  <dataValidation sqref="P102:T102" showDropDown="0" showInputMessage="0" showErrorMessage="0" allowBlank="0" type="list">
      <formula1>"的中,ハズレ,未実施"</formula1>
    </dataValidation>
    <dataValidation sqref="P103:T104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126" t="inlineStr">
        <is>
          <t>競馬 2026年11月成績</t>
        </is>
      </c>
      <c r="C2" s="127" t="n"/>
      <c r="D2" s="1" t="n"/>
      <c r="E2" s="1" t="n"/>
      <c r="F2" s="1" t="n"/>
      <c r="G2" s="1" t="n"/>
      <c r="H2" s="128" t="inlineStr">
        <is>
          <t>【競馬予想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競馬予想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46327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46328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46329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46330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46331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46332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46333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46334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46335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46336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46337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46338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46339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46340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46341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46342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46343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46344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46345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46346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46347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46348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46349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46350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46351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46352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46353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46354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46355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46356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7" t="n"/>
      <c r="C102" s="148">
        <f>IFERROR(F102/E102,"-")</f>
        <v/>
      </c>
      <c r="D102" s="148">
        <f>IFERROR(H102/(G102*100),"-")</f>
        <v/>
      </c>
      <c r="E102" s="149">
        <f>SUM(K$12:K102)</f>
        <v/>
      </c>
      <c r="F102" s="149">
        <f>SUM(L$12:L102)</f>
        <v/>
      </c>
      <c r="G102" s="149">
        <f>SUM(M$12:M102)</f>
        <v/>
      </c>
      <c r="H102" s="149">
        <f>SUM(N$12:N102)</f>
        <v/>
      </c>
      <c r="I102" s="148">
        <f>IFERROR(L102/K102,"-")</f>
        <v/>
      </c>
      <c r="J102" s="148">
        <f>IFERROR(N102/(M102*100),"-")</f>
        <v/>
      </c>
      <c r="K102" s="149">
        <f>COUNTIF(P102:T102,"的中")+COUNTIF(P102:T102,"ハズレ")</f>
        <v/>
      </c>
      <c r="L102" s="149">
        <f>COUNTIF(P102:T102,"的中")</f>
        <v/>
      </c>
      <c r="M102" s="149">
        <f>SUM(P104:T104)</f>
        <v/>
      </c>
      <c r="N102" s="149">
        <f>SUMIFS(P103:T103,P102:T102,"的中")</f>
        <v/>
      </c>
      <c r="O102" s="117" t="inlineStr">
        <is>
          <t>結果</t>
        </is>
      </c>
      <c r="P102" s="116" t="n"/>
      <c r="Q102" s="116" t="n"/>
      <c r="R102" s="116" t="n"/>
      <c r="S102" s="116" t="n"/>
      <c r="T102" s="118" t="n"/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115" t="inlineStr">
        <is>
          <t>払戻金</t>
        </is>
      </c>
      <c r="P103" s="112" t="n"/>
      <c r="Q103" s="112" t="n"/>
      <c r="R103" s="112" t="n"/>
      <c r="S103" s="112" t="n"/>
      <c r="T103" s="119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121" t="inlineStr">
        <is>
          <t>購入点数</t>
        </is>
      </c>
      <c r="P104" s="120" t="n"/>
      <c r="Q104" s="120" t="n"/>
      <c r="R104" s="120" t="n"/>
      <c r="S104" s="120" t="n"/>
      <c r="T104" s="122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0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126" t="inlineStr">
        <is>
          <t>競馬 2026年12月成績</t>
        </is>
      </c>
      <c r="C2" s="127" t="n"/>
      <c r="D2" s="1" t="n"/>
      <c r="E2" s="1" t="n"/>
      <c r="F2" s="1" t="n"/>
      <c r="G2" s="1" t="n"/>
      <c r="H2" s="128" t="inlineStr">
        <is>
          <t>【競馬予想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競馬予想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46357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46358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46359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46360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46361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46362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46363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46364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46365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46366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46367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46368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46369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46370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46371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46372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46373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46374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46375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46376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46377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46378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46379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46380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46381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46382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46383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46384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46385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46386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0" t="n">
        <v>46387</v>
      </c>
      <c r="C102" s="141">
        <f>IFERROR(F102/E102,"-")</f>
        <v/>
      </c>
      <c r="D102" s="141">
        <f>IFERROR(H102/(G102*100),"-")</f>
        <v/>
      </c>
      <c r="E102" s="142">
        <f>SUM(K$12:K102)</f>
        <v/>
      </c>
      <c r="F102" s="142">
        <f>SUM(L$12:L102)</f>
        <v/>
      </c>
      <c r="G102" s="142">
        <f>SUM(M$12:M102)</f>
        <v/>
      </c>
      <c r="H102" s="142">
        <f>SUM(N$12:N102)</f>
        <v/>
      </c>
      <c r="I102" s="141">
        <f>IFERROR(L102/K102,"-")</f>
        <v/>
      </c>
      <c r="J102" s="141">
        <f>IFERROR(N102/(M102*100),"-")</f>
        <v/>
      </c>
      <c r="K102" s="142">
        <f>COUNTIF(P102:T102,"的中")+COUNTIF(P102:T102,"ハズレ")</f>
        <v/>
      </c>
      <c r="L102" s="142">
        <f>COUNTIF(P102:T102,"的中")</f>
        <v/>
      </c>
      <c r="M102" s="142">
        <f>SUM(P104:T104)</f>
        <v/>
      </c>
      <c r="N102" s="142">
        <f>SUMIFS(P103:T103,P102:T102,"的中")</f>
        <v/>
      </c>
      <c r="O102" s="90" t="inlineStr">
        <is>
          <t>結果</t>
        </is>
      </c>
      <c r="P102" s="89" t="inlineStr">
        <is>
          <t>未実施</t>
        </is>
      </c>
      <c r="Q102" s="89" t="inlineStr">
        <is>
          <t>未実施</t>
        </is>
      </c>
      <c r="R102" s="89" t="inlineStr">
        <is>
          <t>未実施</t>
        </is>
      </c>
      <c r="S102" s="89" t="inlineStr">
        <is>
          <t>未実施</t>
        </is>
      </c>
      <c r="T102" s="91" t="inlineStr">
        <is>
          <t>未実施</t>
        </is>
      </c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88" t="inlineStr">
        <is>
          <t>払戻金</t>
        </is>
      </c>
      <c r="P103" s="16" t="n"/>
      <c r="Q103" s="16" t="n"/>
      <c r="R103" s="16" t="n"/>
      <c r="S103" s="16" t="n"/>
      <c r="T103" s="92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94" t="inlineStr">
        <is>
          <t>購入点数</t>
        </is>
      </c>
      <c r="P104" s="93" t="n"/>
      <c r="Q104" s="93" t="n"/>
      <c r="R104" s="93" t="n"/>
      <c r="S104" s="93" t="n"/>
      <c r="T104" s="95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2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  <dataValidation sqref="P102:T102" showDropDown="0" showInputMessage="0" showErrorMessage="0" allowBlank="0" type="list">
      <formula1>"的中,ハズレ,未実施"</formula1>
    </dataValidation>
    <dataValidation sqref="P103:T104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126" t="inlineStr">
        <is>
          <t>競馬 2027年1月成績</t>
        </is>
      </c>
      <c r="C2" s="127" t="n"/>
      <c r="D2" s="1" t="n"/>
      <c r="E2" s="1" t="n"/>
      <c r="F2" s="1" t="n"/>
      <c r="G2" s="1" t="n"/>
      <c r="H2" s="128" t="inlineStr">
        <is>
          <t>【競馬予想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競馬予想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46388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46389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46390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46391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46392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46393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46394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46395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46396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46397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46398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46399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46400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46401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46402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46403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46404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46405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46406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46407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46408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46409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46410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46411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46412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46413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46414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46415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46416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46417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0" t="n">
        <v>46418</v>
      </c>
      <c r="C102" s="141">
        <f>IFERROR(F102/E102,"-")</f>
        <v/>
      </c>
      <c r="D102" s="141">
        <f>IFERROR(H102/(G102*100),"-")</f>
        <v/>
      </c>
      <c r="E102" s="142">
        <f>SUM(K$12:K102)</f>
        <v/>
      </c>
      <c r="F102" s="142">
        <f>SUM(L$12:L102)</f>
        <v/>
      </c>
      <c r="G102" s="142">
        <f>SUM(M$12:M102)</f>
        <v/>
      </c>
      <c r="H102" s="142">
        <f>SUM(N$12:N102)</f>
        <v/>
      </c>
      <c r="I102" s="141">
        <f>IFERROR(L102/K102,"-")</f>
        <v/>
      </c>
      <c r="J102" s="141">
        <f>IFERROR(N102/(M102*100),"-")</f>
        <v/>
      </c>
      <c r="K102" s="142">
        <f>COUNTIF(P102:T102,"的中")+COUNTIF(P102:T102,"ハズレ")</f>
        <v/>
      </c>
      <c r="L102" s="142">
        <f>COUNTIF(P102:T102,"的中")</f>
        <v/>
      </c>
      <c r="M102" s="142">
        <f>SUM(P104:T104)</f>
        <v/>
      </c>
      <c r="N102" s="142">
        <f>SUMIFS(P103:T103,P102:T102,"的中")</f>
        <v/>
      </c>
      <c r="O102" s="90" t="inlineStr">
        <is>
          <t>結果</t>
        </is>
      </c>
      <c r="P102" s="89" t="inlineStr">
        <is>
          <t>未実施</t>
        </is>
      </c>
      <c r="Q102" s="89" t="inlineStr">
        <is>
          <t>未実施</t>
        </is>
      </c>
      <c r="R102" s="89" t="inlineStr">
        <is>
          <t>未実施</t>
        </is>
      </c>
      <c r="S102" s="89" t="inlineStr">
        <is>
          <t>未実施</t>
        </is>
      </c>
      <c r="T102" s="91" t="inlineStr">
        <is>
          <t>未実施</t>
        </is>
      </c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88" t="inlineStr">
        <is>
          <t>払戻金</t>
        </is>
      </c>
      <c r="P103" s="16" t="n"/>
      <c r="Q103" s="16" t="n"/>
      <c r="R103" s="16" t="n"/>
      <c r="S103" s="16" t="n"/>
      <c r="T103" s="92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94" t="inlineStr">
        <is>
          <t>購入点数</t>
        </is>
      </c>
      <c r="P104" s="93" t="n"/>
      <c r="Q104" s="93" t="n"/>
      <c r="R104" s="93" t="n"/>
      <c r="S104" s="93" t="n"/>
      <c r="T104" s="95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2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  <dataValidation sqref="P102:T102" showDropDown="0" showInputMessage="0" showErrorMessage="0" allowBlank="0" type="list">
      <formula1>"的中,ハズレ,未実施"</formula1>
    </dataValidation>
    <dataValidation sqref="P103:T104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126" t="inlineStr">
        <is>
          <t>競馬 2027年2月成績</t>
        </is>
      </c>
      <c r="C2" s="127" t="n"/>
      <c r="D2" s="1" t="n"/>
      <c r="E2" s="1" t="n"/>
      <c r="F2" s="1" t="n"/>
      <c r="G2" s="1" t="n"/>
      <c r="H2" s="128" t="inlineStr">
        <is>
          <t>【競馬予想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競馬予想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46419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46420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46421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46422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46423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46424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46425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46426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46427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46428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46429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46430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46431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46432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46433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46434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46435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46436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46437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46438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46439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46440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46441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46442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46443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46444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46445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46446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7" t="n"/>
      <c r="C96" s="148">
        <f>IFERROR(F96/E96,"-")</f>
        <v/>
      </c>
      <c r="D96" s="148">
        <f>IFERROR(H96/(G96*100),"-")</f>
        <v/>
      </c>
      <c r="E96" s="149">
        <f>SUM(K$12:K96)</f>
        <v/>
      </c>
      <c r="F96" s="149">
        <f>SUM(L$12:L96)</f>
        <v/>
      </c>
      <c r="G96" s="149">
        <f>SUM(M$12:M96)</f>
        <v/>
      </c>
      <c r="H96" s="149">
        <f>SUM(N$12:N96)</f>
        <v/>
      </c>
      <c r="I96" s="148">
        <f>IFERROR(L96/K96,"-")</f>
        <v/>
      </c>
      <c r="J96" s="148">
        <f>IFERROR(N96/(M96*100),"-")</f>
        <v/>
      </c>
      <c r="K96" s="149">
        <f>COUNTIF(P96:T96,"的中")+COUNTIF(P96:T96,"ハズレ")</f>
        <v/>
      </c>
      <c r="L96" s="149">
        <f>COUNTIF(P96:T96,"的中")</f>
        <v/>
      </c>
      <c r="M96" s="149">
        <f>SUM(P98:T98)</f>
        <v/>
      </c>
      <c r="N96" s="149">
        <f>SUMIFS(P97:T97,P96:T96,"的中")</f>
        <v/>
      </c>
      <c r="O96" s="117" t="inlineStr">
        <is>
          <t>結果</t>
        </is>
      </c>
      <c r="P96" s="116" t="n"/>
      <c r="Q96" s="116" t="n"/>
      <c r="R96" s="116" t="n"/>
      <c r="S96" s="116" t="n"/>
      <c r="T96" s="118" t="n"/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115" t="inlineStr">
        <is>
          <t>払戻金</t>
        </is>
      </c>
      <c r="P97" s="112" t="n"/>
      <c r="Q97" s="112" t="n"/>
      <c r="R97" s="112" t="n"/>
      <c r="S97" s="112" t="n"/>
      <c r="T97" s="119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121" t="inlineStr">
        <is>
          <t>購入点数</t>
        </is>
      </c>
      <c r="P98" s="120" t="n"/>
      <c r="Q98" s="120" t="n"/>
      <c r="R98" s="120" t="n"/>
      <c r="S98" s="120" t="n"/>
      <c r="T98" s="122" t="n"/>
    </row>
    <row r="99" ht="22" customHeight="1">
      <c r="B99" s="147" t="n"/>
      <c r="C99" s="148">
        <f>IFERROR(F99/E99,"-")</f>
        <v/>
      </c>
      <c r="D99" s="148">
        <f>IFERROR(H99/(G99*100),"-")</f>
        <v/>
      </c>
      <c r="E99" s="149">
        <f>SUM(K$12:K99)</f>
        <v/>
      </c>
      <c r="F99" s="149">
        <f>SUM(L$12:L99)</f>
        <v/>
      </c>
      <c r="G99" s="149">
        <f>SUM(M$12:M99)</f>
        <v/>
      </c>
      <c r="H99" s="149">
        <f>SUM(N$12:N99)</f>
        <v/>
      </c>
      <c r="I99" s="148">
        <f>IFERROR(L99/K99,"-")</f>
        <v/>
      </c>
      <c r="J99" s="148">
        <f>IFERROR(N99/(M99*100),"-")</f>
        <v/>
      </c>
      <c r="K99" s="149">
        <f>COUNTIF(P99:T99,"的中")+COUNTIF(P99:T99,"ハズレ")</f>
        <v/>
      </c>
      <c r="L99" s="149">
        <f>COUNTIF(P99:T99,"的中")</f>
        <v/>
      </c>
      <c r="M99" s="149">
        <f>SUM(P101:T101)</f>
        <v/>
      </c>
      <c r="N99" s="149">
        <f>SUMIFS(P100:T100,P99:T99,"的中")</f>
        <v/>
      </c>
      <c r="O99" s="117" t="inlineStr">
        <is>
          <t>結果</t>
        </is>
      </c>
      <c r="P99" s="116" t="n"/>
      <c r="Q99" s="116" t="n"/>
      <c r="R99" s="116" t="n"/>
      <c r="S99" s="116" t="n"/>
      <c r="T99" s="118" t="n"/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115" t="inlineStr">
        <is>
          <t>払戻金</t>
        </is>
      </c>
      <c r="P100" s="112" t="n"/>
      <c r="Q100" s="112" t="n"/>
      <c r="R100" s="112" t="n"/>
      <c r="S100" s="112" t="n"/>
      <c r="T100" s="119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121" t="inlineStr">
        <is>
          <t>購入点数</t>
        </is>
      </c>
      <c r="P101" s="120" t="n"/>
      <c r="Q101" s="120" t="n"/>
      <c r="R101" s="120" t="n"/>
      <c r="S101" s="120" t="n"/>
      <c r="T101" s="122" t="n"/>
    </row>
    <row r="102" ht="22" customHeight="1">
      <c r="B102" s="147" t="n"/>
      <c r="C102" s="148">
        <f>IFERROR(F102/E102,"-")</f>
        <v/>
      </c>
      <c r="D102" s="148">
        <f>IFERROR(H102/(G102*100),"-")</f>
        <v/>
      </c>
      <c r="E102" s="149">
        <f>SUM(K$12:K102)</f>
        <v/>
      </c>
      <c r="F102" s="149">
        <f>SUM(L$12:L102)</f>
        <v/>
      </c>
      <c r="G102" s="149">
        <f>SUM(M$12:M102)</f>
        <v/>
      </c>
      <c r="H102" s="149">
        <f>SUM(N$12:N102)</f>
        <v/>
      </c>
      <c r="I102" s="148">
        <f>IFERROR(L102/K102,"-")</f>
        <v/>
      </c>
      <c r="J102" s="148">
        <f>IFERROR(N102/(M102*100),"-")</f>
        <v/>
      </c>
      <c r="K102" s="149">
        <f>COUNTIF(P102:T102,"的中")+COUNTIF(P102:T102,"ハズレ")</f>
        <v/>
      </c>
      <c r="L102" s="149">
        <f>COUNTIF(P102:T102,"的中")</f>
        <v/>
      </c>
      <c r="M102" s="149">
        <f>SUM(P104:T104)</f>
        <v/>
      </c>
      <c r="N102" s="149">
        <f>SUMIFS(P103:T103,P102:T102,"的中")</f>
        <v/>
      </c>
      <c r="O102" s="117" t="inlineStr">
        <is>
          <t>結果</t>
        </is>
      </c>
      <c r="P102" s="116" t="n"/>
      <c r="Q102" s="116" t="n"/>
      <c r="R102" s="116" t="n"/>
      <c r="S102" s="116" t="n"/>
      <c r="T102" s="118" t="n"/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115" t="inlineStr">
        <is>
          <t>払戻金</t>
        </is>
      </c>
      <c r="P103" s="112" t="n"/>
      <c r="Q103" s="112" t="n"/>
      <c r="R103" s="112" t="n"/>
      <c r="S103" s="112" t="n"/>
      <c r="T103" s="119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121" t="inlineStr">
        <is>
          <t>購入点数</t>
        </is>
      </c>
      <c r="P104" s="120" t="n"/>
      <c r="Q104" s="120" t="n"/>
      <c r="R104" s="120" t="n"/>
      <c r="S104" s="120" t="n"/>
      <c r="T104" s="122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56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126" t="inlineStr">
        <is>
          <t>競馬 2027年3月成績</t>
        </is>
      </c>
      <c r="C2" s="127" t="n"/>
      <c r="D2" s="1" t="n"/>
      <c r="E2" s="1" t="n"/>
      <c r="F2" s="1" t="n"/>
      <c r="G2" s="1" t="n"/>
      <c r="H2" s="128" t="inlineStr">
        <is>
          <t>【競馬予想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競馬予想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46447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46448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46449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46450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46451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46452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46453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46454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46455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46456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46457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46458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46459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46460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46461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46462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46463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46464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46465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46466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46467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46468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46469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46470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46471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46472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46473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46474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46475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46476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0" t="n">
        <v>46477</v>
      </c>
      <c r="C102" s="141">
        <f>IFERROR(F102/E102,"-")</f>
        <v/>
      </c>
      <c r="D102" s="141">
        <f>IFERROR(H102/(G102*100),"-")</f>
        <v/>
      </c>
      <c r="E102" s="142">
        <f>SUM(K$12:K102)</f>
        <v/>
      </c>
      <c r="F102" s="142">
        <f>SUM(L$12:L102)</f>
        <v/>
      </c>
      <c r="G102" s="142">
        <f>SUM(M$12:M102)</f>
        <v/>
      </c>
      <c r="H102" s="142">
        <f>SUM(N$12:N102)</f>
        <v/>
      </c>
      <c r="I102" s="141">
        <f>IFERROR(L102/K102,"-")</f>
        <v/>
      </c>
      <c r="J102" s="141">
        <f>IFERROR(N102/(M102*100),"-")</f>
        <v/>
      </c>
      <c r="K102" s="142">
        <f>COUNTIF(P102:T102,"的中")+COUNTIF(P102:T102,"ハズレ")</f>
        <v/>
      </c>
      <c r="L102" s="142">
        <f>COUNTIF(P102:T102,"的中")</f>
        <v/>
      </c>
      <c r="M102" s="142">
        <f>SUM(P104:T104)</f>
        <v/>
      </c>
      <c r="N102" s="142">
        <f>SUMIFS(P103:T103,P102:T102,"的中")</f>
        <v/>
      </c>
      <c r="O102" s="90" t="inlineStr">
        <is>
          <t>結果</t>
        </is>
      </c>
      <c r="P102" s="89" t="inlineStr">
        <is>
          <t>未実施</t>
        </is>
      </c>
      <c r="Q102" s="89" t="inlineStr">
        <is>
          <t>未実施</t>
        </is>
      </c>
      <c r="R102" s="89" t="inlineStr">
        <is>
          <t>未実施</t>
        </is>
      </c>
      <c r="S102" s="89" t="inlineStr">
        <is>
          <t>未実施</t>
        </is>
      </c>
      <c r="T102" s="91" t="inlineStr">
        <is>
          <t>未実施</t>
        </is>
      </c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88" t="inlineStr">
        <is>
          <t>払戻金</t>
        </is>
      </c>
      <c r="P103" s="16" t="n"/>
      <c r="Q103" s="16" t="n"/>
      <c r="R103" s="16" t="n"/>
      <c r="S103" s="16" t="n"/>
      <c r="T103" s="92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94" t="inlineStr">
        <is>
          <t>購入点数</t>
        </is>
      </c>
      <c r="P104" s="93" t="n"/>
      <c r="Q104" s="93" t="n"/>
      <c r="R104" s="93" t="n"/>
      <c r="S104" s="93" t="n"/>
      <c r="T104" s="95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2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  <dataValidation sqref="P102:T102" showDropDown="0" showInputMessage="0" showErrorMessage="0" allowBlank="0" type="list">
      <formula1>"的中,ハズレ,未実施"</formula1>
    </dataValidation>
    <dataValidation sqref="P103:T104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126" t="inlineStr">
        <is>
          <t>競馬 2027年4月成績</t>
        </is>
      </c>
      <c r="C2" s="127" t="n"/>
      <c r="D2" s="1" t="n"/>
      <c r="E2" s="1" t="n"/>
      <c r="F2" s="1" t="n"/>
      <c r="G2" s="1" t="n"/>
      <c r="H2" s="128" t="inlineStr">
        <is>
          <t>【競馬予想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競馬予想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46478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46479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46480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46481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46482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46483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46484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46485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46486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46487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46488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46489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46490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46491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46492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46493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46494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46495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46496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46497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46498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46499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46500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46501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46502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46503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46504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46505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46506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46507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7" t="n"/>
      <c r="C102" s="148">
        <f>IFERROR(F102/E102,"-")</f>
        <v/>
      </c>
      <c r="D102" s="148">
        <f>IFERROR(H102/(G102*100),"-")</f>
        <v/>
      </c>
      <c r="E102" s="149">
        <f>SUM(K$12:K102)</f>
        <v/>
      </c>
      <c r="F102" s="149">
        <f>SUM(L$12:L102)</f>
        <v/>
      </c>
      <c r="G102" s="149">
        <f>SUM(M$12:M102)</f>
        <v/>
      </c>
      <c r="H102" s="149">
        <f>SUM(N$12:N102)</f>
        <v/>
      </c>
      <c r="I102" s="148">
        <f>IFERROR(L102/K102,"-")</f>
        <v/>
      </c>
      <c r="J102" s="148">
        <f>IFERROR(N102/(M102*100),"-")</f>
        <v/>
      </c>
      <c r="K102" s="149">
        <f>COUNTIF(P102:T102,"的中")+COUNTIF(P102:T102,"ハズレ")</f>
        <v/>
      </c>
      <c r="L102" s="149">
        <f>COUNTIF(P102:T102,"的中")</f>
        <v/>
      </c>
      <c r="M102" s="149">
        <f>SUM(P104:T104)</f>
        <v/>
      </c>
      <c r="N102" s="149">
        <f>SUMIFS(P103:T103,P102:T102,"的中")</f>
        <v/>
      </c>
      <c r="O102" s="117" t="inlineStr">
        <is>
          <t>結果</t>
        </is>
      </c>
      <c r="P102" s="116" t="n"/>
      <c r="Q102" s="116" t="n"/>
      <c r="R102" s="116" t="n"/>
      <c r="S102" s="116" t="n"/>
      <c r="T102" s="118" t="n"/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115" t="inlineStr">
        <is>
          <t>払戻金</t>
        </is>
      </c>
      <c r="P103" s="112" t="n"/>
      <c r="Q103" s="112" t="n"/>
      <c r="R103" s="112" t="n"/>
      <c r="S103" s="112" t="n"/>
      <c r="T103" s="119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121" t="inlineStr">
        <is>
          <t>購入点数</t>
        </is>
      </c>
      <c r="P104" s="120" t="n"/>
      <c r="Q104" s="120" t="n"/>
      <c r="R104" s="120" t="n"/>
      <c r="S104" s="120" t="n"/>
      <c r="T104" s="122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0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126" t="inlineStr">
        <is>
          <t>競馬 2027年5月成績</t>
        </is>
      </c>
      <c r="C2" s="127" t="n"/>
      <c r="D2" s="1" t="n"/>
      <c r="E2" s="1" t="n"/>
      <c r="F2" s="1" t="n"/>
      <c r="G2" s="1" t="n"/>
      <c r="H2" s="128" t="inlineStr">
        <is>
          <t>【競馬予想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競馬予想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46508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46509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46510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46511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46512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46513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46514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46515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46516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46517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46518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46519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46520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46521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46522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46523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46524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46525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46526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46527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46528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46529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46530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46531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46532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46533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46534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46535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46536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46537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0" t="n">
        <v>46538</v>
      </c>
      <c r="C102" s="141">
        <f>IFERROR(F102/E102,"-")</f>
        <v/>
      </c>
      <c r="D102" s="141">
        <f>IFERROR(H102/(G102*100),"-")</f>
        <v/>
      </c>
      <c r="E102" s="142">
        <f>SUM(K$12:K102)</f>
        <v/>
      </c>
      <c r="F102" s="142">
        <f>SUM(L$12:L102)</f>
        <v/>
      </c>
      <c r="G102" s="142">
        <f>SUM(M$12:M102)</f>
        <v/>
      </c>
      <c r="H102" s="142">
        <f>SUM(N$12:N102)</f>
        <v/>
      </c>
      <c r="I102" s="141">
        <f>IFERROR(L102/K102,"-")</f>
        <v/>
      </c>
      <c r="J102" s="141">
        <f>IFERROR(N102/(M102*100),"-")</f>
        <v/>
      </c>
      <c r="K102" s="142">
        <f>COUNTIF(P102:T102,"的中")+COUNTIF(P102:T102,"ハズレ")</f>
        <v/>
      </c>
      <c r="L102" s="142">
        <f>COUNTIF(P102:T102,"的中")</f>
        <v/>
      </c>
      <c r="M102" s="142">
        <f>SUM(P104:T104)</f>
        <v/>
      </c>
      <c r="N102" s="142">
        <f>SUMIFS(P103:T103,P102:T102,"的中")</f>
        <v/>
      </c>
      <c r="O102" s="90" t="inlineStr">
        <is>
          <t>結果</t>
        </is>
      </c>
      <c r="P102" s="89" t="inlineStr">
        <is>
          <t>未実施</t>
        </is>
      </c>
      <c r="Q102" s="89" t="inlineStr">
        <is>
          <t>未実施</t>
        </is>
      </c>
      <c r="R102" s="89" t="inlineStr">
        <is>
          <t>未実施</t>
        </is>
      </c>
      <c r="S102" s="89" t="inlineStr">
        <is>
          <t>未実施</t>
        </is>
      </c>
      <c r="T102" s="91" t="inlineStr">
        <is>
          <t>未実施</t>
        </is>
      </c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88" t="inlineStr">
        <is>
          <t>払戻金</t>
        </is>
      </c>
      <c r="P103" s="16" t="n"/>
      <c r="Q103" s="16" t="n"/>
      <c r="R103" s="16" t="n"/>
      <c r="S103" s="16" t="n"/>
      <c r="T103" s="92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94" t="inlineStr">
        <is>
          <t>購入点数</t>
        </is>
      </c>
      <c r="P104" s="93" t="n"/>
      <c r="Q104" s="93" t="n"/>
      <c r="R104" s="93" t="n"/>
      <c r="S104" s="93" t="n"/>
      <c r="T104" s="95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2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  <dataValidation sqref="P102:T102" showDropDown="0" showInputMessage="0" showErrorMessage="0" allowBlank="0" type="list">
      <formula1>"的中,ハズレ,未実施"</formula1>
    </dataValidation>
    <dataValidation sqref="P103:T104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126" t="inlineStr">
        <is>
          <t>競馬 2027年6月成績</t>
        </is>
      </c>
      <c r="C2" s="127" t="n"/>
      <c r="D2" s="1" t="n"/>
      <c r="E2" s="1" t="n"/>
      <c r="F2" s="1" t="n"/>
      <c r="G2" s="1" t="n"/>
      <c r="H2" s="128" t="inlineStr">
        <is>
          <t>【競馬予想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競馬予想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46539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46540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46541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46542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46543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46544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46545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46546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46547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46548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46549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46550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46551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46552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46553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46554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46555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46556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46557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46558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46559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46560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46561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46562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46563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46564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46565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46566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46567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46568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7" t="n"/>
      <c r="C102" s="148">
        <f>IFERROR(F102/E102,"-")</f>
        <v/>
      </c>
      <c r="D102" s="148">
        <f>IFERROR(H102/(G102*100),"-")</f>
        <v/>
      </c>
      <c r="E102" s="149">
        <f>SUM(K$12:K102)</f>
        <v/>
      </c>
      <c r="F102" s="149">
        <f>SUM(L$12:L102)</f>
        <v/>
      </c>
      <c r="G102" s="149">
        <f>SUM(M$12:M102)</f>
        <v/>
      </c>
      <c r="H102" s="149">
        <f>SUM(N$12:N102)</f>
        <v/>
      </c>
      <c r="I102" s="148">
        <f>IFERROR(L102/K102,"-")</f>
        <v/>
      </c>
      <c r="J102" s="148">
        <f>IFERROR(N102/(M102*100),"-")</f>
        <v/>
      </c>
      <c r="K102" s="149">
        <f>COUNTIF(P102:T102,"的中")+COUNTIF(P102:T102,"ハズレ")</f>
        <v/>
      </c>
      <c r="L102" s="149">
        <f>COUNTIF(P102:T102,"的中")</f>
        <v/>
      </c>
      <c r="M102" s="149">
        <f>SUM(P104:T104)</f>
        <v/>
      </c>
      <c r="N102" s="149">
        <f>SUMIFS(P103:T103,P102:T102,"的中")</f>
        <v/>
      </c>
      <c r="O102" s="117" t="inlineStr">
        <is>
          <t>結果</t>
        </is>
      </c>
      <c r="P102" s="116" t="n"/>
      <c r="Q102" s="116" t="n"/>
      <c r="R102" s="116" t="n"/>
      <c r="S102" s="116" t="n"/>
      <c r="T102" s="118" t="n"/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115" t="inlineStr">
        <is>
          <t>払戻金</t>
        </is>
      </c>
      <c r="P103" s="112" t="n"/>
      <c r="Q103" s="112" t="n"/>
      <c r="R103" s="112" t="n"/>
      <c r="S103" s="112" t="n"/>
      <c r="T103" s="119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121" t="inlineStr">
        <is>
          <t>購入点数</t>
        </is>
      </c>
      <c r="P104" s="120" t="n"/>
      <c r="Q104" s="120" t="n"/>
      <c r="R104" s="120" t="n"/>
      <c r="S104" s="120" t="n"/>
      <c r="T104" s="122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0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126" t="inlineStr">
        <is>
          <t>競馬 2027年7月成績</t>
        </is>
      </c>
      <c r="C2" s="127" t="n"/>
      <c r="D2" s="1" t="n"/>
      <c r="E2" s="1" t="n"/>
      <c r="F2" s="1" t="n"/>
      <c r="G2" s="1" t="n"/>
      <c r="H2" s="128" t="inlineStr">
        <is>
          <t>【競馬予想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競馬予想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46569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46570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46571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46572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46573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46574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46575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46576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46577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46578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46579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46580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46581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46582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46583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46584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46585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46586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46587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46588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46589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46590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46591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46592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46593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46594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46595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46596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46597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46598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0" t="n">
        <v>46599</v>
      </c>
      <c r="C102" s="141">
        <f>IFERROR(F102/E102,"-")</f>
        <v/>
      </c>
      <c r="D102" s="141">
        <f>IFERROR(H102/(G102*100),"-")</f>
        <v/>
      </c>
      <c r="E102" s="142">
        <f>SUM(K$12:K102)</f>
        <v/>
      </c>
      <c r="F102" s="142">
        <f>SUM(L$12:L102)</f>
        <v/>
      </c>
      <c r="G102" s="142">
        <f>SUM(M$12:M102)</f>
        <v/>
      </c>
      <c r="H102" s="142">
        <f>SUM(N$12:N102)</f>
        <v/>
      </c>
      <c r="I102" s="141">
        <f>IFERROR(L102/K102,"-")</f>
        <v/>
      </c>
      <c r="J102" s="141">
        <f>IFERROR(N102/(M102*100),"-")</f>
        <v/>
      </c>
      <c r="K102" s="142">
        <f>COUNTIF(P102:T102,"的中")+COUNTIF(P102:T102,"ハズレ")</f>
        <v/>
      </c>
      <c r="L102" s="142">
        <f>COUNTIF(P102:T102,"的中")</f>
        <v/>
      </c>
      <c r="M102" s="142">
        <f>SUM(P104:T104)</f>
        <v/>
      </c>
      <c r="N102" s="142">
        <f>SUMIFS(P103:T103,P102:T102,"的中")</f>
        <v/>
      </c>
      <c r="O102" s="90" t="inlineStr">
        <is>
          <t>結果</t>
        </is>
      </c>
      <c r="P102" s="89" t="inlineStr">
        <is>
          <t>未実施</t>
        </is>
      </c>
      <c r="Q102" s="89" t="inlineStr">
        <is>
          <t>未実施</t>
        </is>
      </c>
      <c r="R102" s="89" t="inlineStr">
        <is>
          <t>未実施</t>
        </is>
      </c>
      <c r="S102" s="89" t="inlineStr">
        <is>
          <t>未実施</t>
        </is>
      </c>
      <c r="T102" s="91" t="inlineStr">
        <is>
          <t>未実施</t>
        </is>
      </c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88" t="inlineStr">
        <is>
          <t>払戻金</t>
        </is>
      </c>
      <c r="P103" s="16" t="n"/>
      <c r="Q103" s="16" t="n"/>
      <c r="R103" s="16" t="n"/>
      <c r="S103" s="16" t="n"/>
      <c r="T103" s="92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94" t="inlineStr">
        <is>
          <t>購入点数</t>
        </is>
      </c>
      <c r="P104" s="93" t="n"/>
      <c r="Q104" s="93" t="n"/>
      <c r="R104" s="93" t="n"/>
      <c r="S104" s="93" t="n"/>
      <c r="T104" s="95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2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  <dataValidation sqref="P102:T102" showDropDown="0" showInputMessage="0" showErrorMessage="0" allowBlank="0" type="list">
      <formula1>"的中,ハズレ,未実施"</formula1>
    </dataValidation>
    <dataValidation sqref="P103:T104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126" t="inlineStr">
        <is>
          <t>競馬 2027年8月成績</t>
        </is>
      </c>
      <c r="C2" s="127" t="n"/>
      <c r="D2" s="1" t="n"/>
      <c r="E2" s="1" t="n"/>
      <c r="F2" s="1" t="n"/>
      <c r="G2" s="1" t="n"/>
      <c r="H2" s="128" t="inlineStr">
        <is>
          <t>【競馬予想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競馬予想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46600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46601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46602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46603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46604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46605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46606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46607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46608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46609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46610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46611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46612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46613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46614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46615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46616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46617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46618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46619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46620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46621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46622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46623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46624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46625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46626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46627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46628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46629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0" t="n">
        <v>46630</v>
      </c>
      <c r="C102" s="141">
        <f>IFERROR(F102/E102,"-")</f>
        <v/>
      </c>
      <c r="D102" s="141">
        <f>IFERROR(H102/(G102*100),"-")</f>
        <v/>
      </c>
      <c r="E102" s="142">
        <f>SUM(K$12:K102)</f>
        <v/>
      </c>
      <c r="F102" s="142">
        <f>SUM(L$12:L102)</f>
        <v/>
      </c>
      <c r="G102" s="142">
        <f>SUM(M$12:M102)</f>
        <v/>
      </c>
      <c r="H102" s="142">
        <f>SUM(N$12:N102)</f>
        <v/>
      </c>
      <c r="I102" s="141">
        <f>IFERROR(L102/K102,"-")</f>
        <v/>
      </c>
      <c r="J102" s="141">
        <f>IFERROR(N102/(M102*100),"-")</f>
        <v/>
      </c>
      <c r="K102" s="142">
        <f>COUNTIF(P102:T102,"的中")+COUNTIF(P102:T102,"ハズレ")</f>
        <v/>
      </c>
      <c r="L102" s="142">
        <f>COUNTIF(P102:T102,"的中")</f>
        <v/>
      </c>
      <c r="M102" s="142">
        <f>SUM(P104:T104)</f>
        <v/>
      </c>
      <c r="N102" s="142">
        <f>SUMIFS(P103:T103,P102:T102,"的中")</f>
        <v/>
      </c>
      <c r="O102" s="90" t="inlineStr">
        <is>
          <t>結果</t>
        </is>
      </c>
      <c r="P102" s="89" t="inlineStr">
        <is>
          <t>未実施</t>
        </is>
      </c>
      <c r="Q102" s="89" t="inlineStr">
        <is>
          <t>未実施</t>
        </is>
      </c>
      <c r="R102" s="89" t="inlineStr">
        <is>
          <t>未実施</t>
        </is>
      </c>
      <c r="S102" s="89" t="inlineStr">
        <is>
          <t>未実施</t>
        </is>
      </c>
      <c r="T102" s="91" t="inlineStr">
        <is>
          <t>未実施</t>
        </is>
      </c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88" t="inlineStr">
        <is>
          <t>払戻金</t>
        </is>
      </c>
      <c r="P103" s="16" t="n"/>
      <c r="Q103" s="16" t="n"/>
      <c r="R103" s="16" t="n"/>
      <c r="S103" s="16" t="n"/>
      <c r="T103" s="92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94" t="inlineStr">
        <is>
          <t>購入点数</t>
        </is>
      </c>
      <c r="P104" s="93" t="n"/>
      <c r="Q104" s="93" t="n"/>
      <c r="R104" s="93" t="n"/>
      <c r="S104" s="93" t="n"/>
      <c r="T104" s="95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2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  <dataValidation sqref="P102:T102" showDropDown="0" showInputMessage="0" showErrorMessage="0" allowBlank="0" type="list">
      <formula1>"的中,ハズレ,未実施"</formula1>
    </dataValidation>
    <dataValidation sqref="P103:T104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2026-09-01T12:24:55Z</dcterms:created>
  <dcterms:modified xsi:type="dcterms:W3CDTF">2026-09-01T12:26:47Z</dcterms:modified>
</cp:coreProperties>
</file>