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202609" sheetId="1" state="visible" r:id="rId1"/>
    <sheet name="202610" sheetId="2" state="visible" r:id="rId2"/>
    <sheet name="202611" sheetId="3" state="visible" r:id="rId3"/>
    <sheet name="202612" sheetId="4" state="visible" r:id="rId4"/>
    <sheet name="202701" sheetId="5" state="visible" r:id="rId5"/>
    <sheet name="202702" sheetId="6" state="visible" r:id="rId6"/>
    <sheet name="202703" sheetId="7" state="visible" r:id="rId7"/>
    <sheet name="202704" sheetId="8" state="visible" r:id="rId8"/>
    <sheet name="202705" sheetId="9" state="visible" r:id="rId9"/>
    <sheet name="202706" sheetId="10" state="visible" r:id="rId10"/>
    <sheet name="202707" sheetId="11" state="visible" r:id="rId11"/>
    <sheet name="202708" sheetId="12" state="visible" r:id="rId12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m/d"/>
  </numFmts>
  <fonts count="5">
    <font>
      <name val="Carlito"/>
      <sz val="11"/>
    </font>
    <font>
      <name val="Yu Gothic"/>
      <color rgb="FF111827"/>
      <sz val="10"/>
    </font>
    <font>
      <name val="Yu Gothic"/>
      <b val="1"/>
      <color rgb="FFFFFFFF"/>
      <sz val="12"/>
    </font>
    <font>
      <name val="Yu Gothic"/>
      <b val="1"/>
      <color rgb="FF111827"/>
      <sz val="10"/>
    </font>
    <font>
      <name val="Yu Gothic"/>
      <b val="1"/>
      <color rgb="FFFFFFFF"/>
      <sz val="10"/>
    </font>
  </fonts>
  <fills count="12">
    <fill>
      <patternFill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FF4D6"/>
      </patternFill>
    </fill>
    <fill>
      <patternFill patternType="solid">
        <fgColor rgb="FF2E7D32"/>
      </patternFill>
    </fill>
    <fill>
      <patternFill patternType="solid">
        <fgColor rgb="FFB91C1C"/>
      </patternFill>
    </fill>
    <fill>
      <patternFill patternType="solid">
        <fgColor rgb="FF3F327A"/>
      </patternFill>
    </fill>
    <fill>
      <patternFill patternType="solid">
        <fgColor rgb="FFFFF3CD"/>
      </patternFill>
    </fill>
    <fill>
      <patternFill patternType="solid">
        <fgColor rgb="FFEEEAFB"/>
      </patternFill>
    </fill>
    <fill>
      <patternFill patternType="solid">
        <fgColor rgb="FFF3F4F6"/>
      </patternFill>
    </fill>
  </fills>
  <borders count="28">
    <border/>
    <border>
      <left style="medium">
        <color rgb="FF52606D"/>
      </left>
      <top style="medium">
        <color rgb="FF52606D"/>
      </top>
      <bottom style="medium">
        <color rgb="FF52606D"/>
      </bottom>
    </border>
    <border>
      <right style="medium">
        <color rgb="FF52606D"/>
      </right>
      <top style="medium">
        <color rgb="FF52606D"/>
      </top>
      <bottom style="medium">
        <color rgb="FF52606D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thin">
        <color rgb="FFC8D0D8"/>
      </bottom>
    </border>
    <border>
      <left style="medium">
        <color rgb="FF52606D"/>
      </left>
      <top style="medium">
        <color rgb="FF52606D"/>
      </top>
    </border>
    <border>
      <top style="medium">
        <color rgb="FF52606D"/>
      </top>
    </border>
    <border>
      <right style="medium">
        <color rgb="FF52606D"/>
      </right>
      <top style="medium">
        <color rgb="FF52606D"/>
      </top>
    </border>
    <border>
      <left style="medium">
        <color rgb="FF52606D"/>
      </left>
    </border>
    <border>
      <right style="medium">
        <color rgb="FF52606D"/>
      </right>
    </border>
    <border>
      <left style="medium">
        <color rgb="FF52606D"/>
      </left>
      <bottom style="medium">
        <color rgb="FF52606D"/>
      </bottom>
    </border>
    <border>
      <bottom style="medium">
        <color rgb="FF52606D"/>
      </bottom>
    </border>
    <border>
      <right style="medium">
        <color rgb="FF52606D"/>
      </right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</border>
    <border>
      <left style="medium">
        <color rgb="FF52606D"/>
      </left>
      <right style="medium">
        <color rgb="FF52606D"/>
      </right>
      <bottom style="medium">
        <color rgb="FF52606D"/>
      </bottom>
    </border>
    <border>
      <left style="medium">
        <color rgb="FF52606D"/>
      </left>
      <right style="medium">
        <color rgb="FF52606D"/>
      </right>
    </border>
    <border>
      <left style="thin">
        <color rgb="FFC8D0D8"/>
      </left>
      <right style="thin">
        <color rgb="FFC8D0D8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medium">
        <color rgb="FF52606D"/>
      </top>
      <bottom style="thin">
        <color rgb="FFC8D0D8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thin">
        <color rgb="FFC8D0D8"/>
      </bottom>
    </border>
    <border>
      <left style="thin">
        <color rgb="FFC8D0D8"/>
      </left>
      <right style="thin">
        <color rgb="FFC8D0D8"/>
      </right>
      <top style="thin">
        <color rgb="FFC8D0D8"/>
      </top>
      <bottom style="medium">
        <color rgb="FF52606D"/>
      </bottom>
    </border>
    <border>
      <left style="thin">
        <color rgb="FFC8D0D8"/>
      </left>
      <right style="medium">
        <color rgb="FF52606D"/>
      </right>
      <top style="thin">
        <color rgb="FFC8D0D8"/>
      </top>
      <bottom style="medium">
        <color rgb="FF52606D"/>
      </bottom>
    </border>
    <border>
      <left style="medium">
        <color rgb="FF52606D"/>
      </left>
      <right style="medium">
        <color rgb="FF52606D"/>
      </right>
      <top style="medium">
        <color rgb="FF52606D"/>
      </top>
      <bottom style="medium">
        <color rgb="FF52606D"/>
      </bottom>
    </border>
    <border>
      <top style="thin">
        <color rgb="FFC8D0D8"/>
      </top>
    </border>
    <border>
      <right style="thin">
        <color rgb="FFC8D0D8"/>
      </right>
      <top style="thin">
        <color rgb="FFC8D0D8"/>
      </top>
    </border>
    <border>
      <top style="thin">
        <color rgb="FFC8D0D8"/>
      </top>
      <bottom style="thin">
        <color rgb="FFC8D0D8"/>
      </bottom>
    </border>
    <border>
      <right style="thin">
        <color rgb="FFC8D0D8"/>
      </right>
      <top style="thin">
        <color rgb="FFC8D0D8"/>
      </top>
      <bottom style="thin">
        <color rgb="FFC8D0D8"/>
      </bottom>
    </border>
    <border>
      <left style="thin">
        <color rgb="FFC8D0D8"/>
      </left>
    </border>
    <border>
      <left style="thin">
        <color rgb="FFC8D0D8"/>
      </left>
      <right style="thin">
        <color rgb="FFC8D0D8"/>
      </right>
    </border>
    <border>
      <left style="thin">
        <color rgb="FFC8D0D8"/>
      </left>
      <right style="thin">
        <color rgb="FFC8D0D8"/>
      </right>
      <bottom style="thin">
        <color rgb="FFC8D0D8"/>
      </bottom>
    </border>
  </borders>
  <cellStyleXfs count="1">
    <xf numFmtId="0" fontId="0" fillId="0" borderId="0"/>
  </cellStyleXfs>
  <cellXfs count="15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2" pivotButton="0" quotePrefix="0" xfId="0"/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3" borderId="0" pivotButton="0" quotePrefix="0" xfId="0"/>
    <xf numFmtId="0" fontId="3" fillId="3" borderId="0" pivotButton="0" quotePrefix="0" xfId="0"/>
    <xf numFmtId="0" fontId="3" fillId="3" borderId="3" pivotButton="0" quotePrefix="0" xfId="0"/>
    <xf numFmtId="0" fontId="1" fillId="4" borderId="0" pivotButton="0" quotePrefix="0" xfId="0"/>
    <xf numFmtId="0" fontId="1" fillId="4" borderId="3" pivotButton="0" quotePrefix="0" xfId="0"/>
    <xf numFmtId="0" fontId="1" fillId="4" borderId="3" applyAlignment="1" pivotButton="0" quotePrefix="0" xfId="0">
      <alignment horizontal="center"/>
    </xf>
    <xf numFmtId="0" fontId="1" fillId="4" borderId="3" applyAlignment="1" pivotButton="0" quotePrefix="0" xfId="0">
      <alignment horizontal="center" vertical="center"/>
    </xf>
    <xf numFmtId="3" fontId="1" fillId="4" borderId="3" applyAlignment="1" pivotButton="0" quotePrefix="0" xfId="0">
      <alignment horizontal="center" vertical="center"/>
    </xf>
    <xf numFmtId="164" fontId="1" fillId="4" borderId="3" applyAlignment="1" pivotButton="0" quotePrefix="0" xfId="0">
      <alignment horizontal="center" vertical="center"/>
    </xf>
    <xf numFmtId="0" fontId="1" fillId="5" borderId="0" pivotButton="0" quotePrefix="0" xfId="0"/>
    <xf numFmtId="0" fontId="1" fillId="5" borderId="4" pivotButton="0" quotePrefix="0" xfId="0"/>
    <xf numFmtId="0" fontId="1" fillId="5" borderId="5" pivotButton="0" quotePrefix="0" xfId="0"/>
    <xf numFmtId="0" fontId="1" fillId="5" borderId="6" pivotButton="0" quotePrefix="0" xfId="0"/>
    <xf numFmtId="0" fontId="1" fillId="5" borderId="7" pivotButton="0" quotePrefix="0" xfId="0"/>
    <xf numFmtId="0" fontId="1" fillId="5" borderId="8" pivotButton="0" quotePrefix="0" xfId="0"/>
    <xf numFmtId="0" fontId="1" fillId="5" borderId="9" pivotButton="0" quotePrefix="0" xfId="0"/>
    <xf numFmtId="0" fontId="1" fillId="5" borderId="10" pivotButton="0" quotePrefix="0" xfId="0"/>
    <xf numFmtId="0" fontId="1" fillId="5" borderId="11" pivotButton="0" quotePrefix="0" xfId="0"/>
    <xf numFmtId="0" fontId="1" fillId="5" borderId="4" applyAlignment="1" pivotButton="0" quotePrefix="0" xfId="0">
      <alignment wrapText="1"/>
    </xf>
    <xf numFmtId="0" fontId="1" fillId="5" borderId="5" applyAlignment="1" pivotButton="0" quotePrefix="0" xfId="0">
      <alignment wrapText="1"/>
    </xf>
    <xf numFmtId="0" fontId="1" fillId="5" borderId="6" applyAlignment="1" pivotButton="0" quotePrefix="0" xfId="0">
      <alignment wrapText="1"/>
    </xf>
    <xf numFmtId="0" fontId="1" fillId="5" borderId="7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1" fillId="5" borderId="8" applyAlignment="1" pivotButton="0" quotePrefix="0" xfId="0">
      <alignment wrapText="1"/>
    </xf>
    <xf numFmtId="0" fontId="1" fillId="5" borderId="9" applyAlignment="1" pivotButton="0" quotePrefix="0" xfId="0">
      <alignment wrapText="1"/>
    </xf>
    <xf numFmtId="0" fontId="1" fillId="5" borderId="10" applyAlignment="1" pivotButton="0" quotePrefix="0" xfId="0">
      <alignment wrapText="1"/>
    </xf>
    <xf numFmtId="0" fontId="1" fillId="5" borderId="11" applyAlignment="1" pivotButton="0" quotePrefix="0" xfId="0">
      <alignment wrapText="1"/>
    </xf>
    <xf numFmtId="0" fontId="1" fillId="5" borderId="4" applyAlignment="1" pivotButton="0" quotePrefix="0" xfId="0">
      <alignment vertical="top" wrapText="1"/>
    </xf>
    <xf numFmtId="0" fontId="1" fillId="5" borderId="5" applyAlignment="1" pivotButton="0" quotePrefix="0" xfId="0">
      <alignment vertical="top" wrapText="1"/>
    </xf>
    <xf numFmtId="0" fontId="1" fillId="5" borderId="6" applyAlignment="1" pivotButton="0" quotePrefix="0" xfId="0">
      <alignment vertical="top" wrapText="1"/>
    </xf>
    <xf numFmtId="0" fontId="1" fillId="5" borderId="7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5" borderId="8" applyAlignment="1" pivotButton="0" quotePrefix="0" xfId="0">
      <alignment vertical="top" wrapText="1"/>
    </xf>
    <xf numFmtId="0" fontId="1" fillId="5" borderId="9" applyAlignment="1" pivotButton="0" quotePrefix="0" xfId="0">
      <alignment vertical="top" wrapText="1"/>
    </xf>
    <xf numFmtId="0" fontId="1" fillId="5" borderId="10" applyAlignment="1" pivotButton="0" quotePrefix="0" xfId="0">
      <alignment vertical="top" wrapText="1"/>
    </xf>
    <xf numFmtId="0" fontId="1" fillId="5" borderId="11" applyAlignment="1" pivotButton="0" quotePrefix="0" xfId="0">
      <alignment vertical="top" wrapText="1"/>
    </xf>
    <xf numFmtId="0" fontId="1" fillId="6" borderId="0" pivotButton="0" quotePrefix="0" xfId="0"/>
    <xf numFmtId="0" fontId="4" fillId="6" borderId="0" pivotButton="0" quotePrefix="0" xfId="0"/>
    <xf numFmtId="0" fontId="4" fillId="6" borderId="12" pivotButton="0" quotePrefix="0" xfId="0"/>
    <xf numFmtId="0" fontId="4" fillId="6" borderId="13" pivotButton="0" quotePrefix="0" xfId="0"/>
    <xf numFmtId="0" fontId="4" fillId="6" borderId="12" applyAlignment="1" pivotButton="0" quotePrefix="0" xfId="0">
      <alignment wrapText="1"/>
    </xf>
    <xf numFmtId="0" fontId="4" fillId="6" borderId="13" applyAlignment="1" pivotButton="0" quotePrefix="0" xfId="0">
      <alignment wrapText="1"/>
    </xf>
    <xf numFmtId="0" fontId="4" fillId="6" borderId="12" applyAlignment="1" pivotButton="0" quotePrefix="0" xfId="0">
      <alignment horizontal="center" wrapText="1"/>
    </xf>
    <xf numFmtId="0" fontId="4" fillId="6" borderId="13" applyAlignment="1" pivotButton="0" quotePrefix="0" xfId="0">
      <alignment horizontal="center" wrapText="1"/>
    </xf>
    <xf numFmtId="0" fontId="4" fillId="6" borderId="12" applyAlignment="1" pivotButton="0" quotePrefix="0" xfId="0">
      <alignment horizontal="center" vertical="center" wrapText="1"/>
    </xf>
    <xf numFmtId="0" fontId="4" fillId="6" borderId="13" applyAlignment="1" pivotButton="0" quotePrefix="0" xfId="0">
      <alignment horizontal="center" vertical="center" wrapText="1"/>
    </xf>
    <xf numFmtId="0" fontId="4" fillId="2" borderId="0" pivotButton="0" quotePrefix="0" xfId="0"/>
    <xf numFmtId="0" fontId="4" fillId="2" borderId="3" pivotButton="0" quotePrefix="0" xfId="0"/>
    <xf numFmtId="0" fontId="4" fillId="2" borderId="3" applyAlignment="1" pivotButton="0" quotePrefix="0" xfId="0">
      <alignment wrapText="1"/>
    </xf>
    <xf numFmtId="0" fontId="4" fillId="2" borderId="3" applyAlignment="1" pivotButton="0" quotePrefix="0" xfId="0">
      <alignment horizontal="center" wrapText="1"/>
    </xf>
    <xf numFmtId="0" fontId="4" fillId="2" borderId="3" applyAlignment="1" pivotButton="0" quotePrefix="0" xfId="0">
      <alignment horizontal="center" vertical="center" wrapText="1"/>
    </xf>
    <xf numFmtId="0" fontId="1" fillId="7" borderId="0" pivotButton="0" quotePrefix="0" xfId="0"/>
    <xf numFmtId="0" fontId="4" fillId="7" borderId="0" pivotButton="0" quotePrefix="0" xfId="0"/>
    <xf numFmtId="0" fontId="4" fillId="7" borderId="3" pivotButton="0" quotePrefix="0" xfId="0"/>
    <xf numFmtId="0" fontId="4" fillId="7" borderId="3" applyAlignment="1" pivotButton="0" quotePrefix="0" xfId="0">
      <alignment wrapText="1"/>
    </xf>
    <xf numFmtId="0" fontId="4" fillId="7" borderId="3" applyAlignment="1" pivotButton="0" quotePrefix="0" xfId="0">
      <alignment horizontal="center" wrapText="1"/>
    </xf>
    <xf numFmtId="0" fontId="4" fillId="7" borderId="3" applyAlignment="1" pivotButton="0" quotePrefix="0" xfId="0">
      <alignment horizontal="center" vertical="center" wrapText="1"/>
    </xf>
    <xf numFmtId="0" fontId="1" fillId="8" borderId="0" pivotButton="0" quotePrefix="0" xfId="0"/>
    <xf numFmtId="0" fontId="4" fillId="8" borderId="0" pivotButton="0" quotePrefix="0" xfId="0"/>
    <xf numFmtId="0" fontId="4" fillId="8" borderId="3" pivotButton="0" quotePrefix="0" xfId="0"/>
    <xf numFmtId="0" fontId="4" fillId="8" borderId="3" applyAlignment="1" pivotButton="0" quotePrefix="0" xfId="0">
      <alignment wrapText="1"/>
    </xf>
    <xf numFmtId="0" fontId="4" fillId="8" borderId="3" applyAlignment="1" pivotButton="0" quotePrefix="0" xfId="0">
      <alignment horizontal="center" wrapText="1"/>
    </xf>
    <xf numFmtId="0" fontId="4" fillId="8" borderId="3" applyAlignment="1" pivotButton="0" quotePrefix="0" xfId="0">
      <alignment horizontal="center" vertical="center" wrapText="1"/>
    </xf>
    <xf numFmtId="0" fontId="1" fillId="9" borderId="0" pivotButton="0" quotePrefix="0" xfId="0"/>
    <xf numFmtId="0" fontId="3" fillId="9" borderId="0" pivotButton="0" quotePrefix="0" xfId="0"/>
    <xf numFmtId="0" fontId="3" fillId="9" borderId="12" pivotButton="0" quotePrefix="0" xfId="0"/>
    <xf numFmtId="0" fontId="3" fillId="9" borderId="14" pivotButton="0" quotePrefix="0" xfId="0"/>
    <xf numFmtId="0" fontId="3" fillId="9" borderId="13" pivotButton="0" quotePrefix="0" xfId="0"/>
    <xf numFmtId="0" fontId="3" fillId="9" borderId="12" applyAlignment="1" pivotButton="0" quotePrefix="0" xfId="0">
      <alignment horizontal="center"/>
    </xf>
    <xf numFmtId="0" fontId="3" fillId="9" borderId="14" applyAlignment="1" pivotButton="0" quotePrefix="0" xfId="0">
      <alignment horizontal="center"/>
    </xf>
    <xf numFmtId="0" fontId="3" fillId="9" borderId="13" applyAlignment="1" pivotButton="0" quotePrefix="0" xfId="0">
      <alignment horizontal="center"/>
    </xf>
    <xf numFmtId="0" fontId="3" fillId="9" borderId="12" applyAlignment="1" pivotButton="0" quotePrefix="0" xfId="0">
      <alignment horizontal="center" vertical="center"/>
    </xf>
    <xf numFmtId="0" fontId="3" fillId="9" borderId="14" applyAlignment="1" pivotButton="0" quotePrefix="0" xfId="0">
      <alignment horizontal="center" vertical="center"/>
    </xf>
    <xf numFmtId="0" fontId="3" fillId="9" borderId="13" applyAlignment="1" pivotButton="0" quotePrefix="0" xfId="0">
      <alignment horizontal="center" vertical="center"/>
    </xf>
    <xf numFmtId="0" fontId="1" fillId="10" borderId="0" pivotButton="0" quotePrefix="0" xfId="0"/>
    <xf numFmtId="0" fontId="3" fillId="10" borderId="0" pivotButton="0" quotePrefix="0" xfId="0"/>
    <xf numFmtId="0" fontId="3" fillId="10" borderId="3" pivotButton="0" quotePrefix="0" xfId="0"/>
    <xf numFmtId="0" fontId="3" fillId="10" borderId="3" applyAlignment="1" pivotButton="0" quotePrefix="0" xfId="0">
      <alignment horizontal="center"/>
    </xf>
    <xf numFmtId="0" fontId="3" fillId="10" borderId="3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3" fillId="10" borderId="15" applyAlignment="1" pivotButton="0" quotePrefix="0" xfId="0">
      <alignment horizontal="center" vertical="center"/>
    </xf>
    <xf numFmtId="0" fontId="1" fillId="4" borderId="16" applyAlignment="1" pivotButton="0" quotePrefix="0" xfId="0">
      <alignment horizontal="center" vertical="center"/>
    </xf>
    <xf numFmtId="0" fontId="1" fillId="4" borderId="17" applyAlignment="1" pivotButton="0" quotePrefix="0" xfId="0">
      <alignment horizontal="center" vertical="center"/>
    </xf>
    <xf numFmtId="0" fontId="1" fillId="4" borderId="18" applyAlignment="1" pivotButton="0" quotePrefix="0" xfId="0">
      <alignment horizontal="center" vertical="center"/>
    </xf>
    <xf numFmtId="0" fontId="3" fillId="10" borderId="18" applyAlignment="1" pivotButton="0" quotePrefix="0" xfId="0">
      <alignment horizontal="center" vertical="center"/>
    </xf>
    <xf numFmtId="0" fontId="1" fillId="4" borderId="19" applyAlignment="1" pivotButton="0" quotePrefix="0" xfId="0">
      <alignment horizontal="center" vertical="center"/>
    </xf>
    <xf numFmtId="165" fontId="3" fillId="9" borderId="12" applyAlignment="1" pivotButton="0" quotePrefix="0" xfId="0">
      <alignment horizontal="center" vertical="center"/>
    </xf>
    <xf numFmtId="164" fontId="1" fillId="4" borderId="15" applyAlignment="1" pivotButton="0" quotePrefix="0" xfId="0">
      <alignment horizontal="center" vertical="center"/>
    </xf>
    <xf numFmtId="3" fontId="1" fillId="4" borderId="15" applyAlignment="1" pivotButton="0" quotePrefix="0" xfId="0">
      <alignment horizontal="center" vertical="center"/>
    </xf>
    <xf numFmtId="0" fontId="1" fillId="11" borderId="0" pivotButton="0" quotePrefix="0" xfId="0"/>
    <xf numFmtId="0" fontId="3" fillId="11" borderId="0" pivotButton="0" quotePrefix="0" xfId="0"/>
    <xf numFmtId="0" fontId="3" fillId="11" borderId="12" pivotButton="0" quotePrefix="0" xfId="0"/>
    <xf numFmtId="0" fontId="3" fillId="11" borderId="14" pivotButton="0" quotePrefix="0" xfId="0"/>
    <xf numFmtId="0" fontId="3" fillId="11" borderId="13" pivotButton="0" quotePrefix="0" xfId="0"/>
    <xf numFmtId="0" fontId="3" fillId="11" borderId="12" applyAlignment="1" pivotButton="0" quotePrefix="0" xfId="0">
      <alignment horizontal="center"/>
    </xf>
    <xf numFmtId="0" fontId="3" fillId="11" borderId="14" applyAlignment="1" pivotButton="0" quotePrefix="0" xfId="0">
      <alignment horizontal="center"/>
    </xf>
    <xf numFmtId="0" fontId="3" fillId="11" borderId="13" applyAlignment="1" pivotButton="0" quotePrefix="0" xfId="0">
      <alignment horizontal="center"/>
    </xf>
    <xf numFmtId="0" fontId="3" fillId="11" borderId="12" applyAlignment="1" pivotButton="0" quotePrefix="0" xfId="0">
      <alignment horizontal="center" vertical="center"/>
    </xf>
    <xf numFmtId="0" fontId="3" fillId="11" borderId="14" applyAlignment="1" pivotButton="0" quotePrefix="0" xfId="0">
      <alignment horizontal="center" vertical="center"/>
    </xf>
    <xf numFmtId="0" fontId="3" fillId="11" borderId="13" applyAlignment="1" pivotButton="0" quotePrefix="0" xfId="0">
      <alignment horizontal="center" vertical="center"/>
    </xf>
    <xf numFmtId="0" fontId="1" fillId="11" borderId="3" pivotButton="0" quotePrefix="0" xfId="0"/>
    <xf numFmtId="0" fontId="1" fillId="11" borderId="3" applyAlignment="1" pivotButton="0" quotePrefix="0" xfId="0">
      <alignment horizontal="center"/>
    </xf>
    <xf numFmtId="0" fontId="1" fillId="11" borderId="3" applyAlignment="1" pivotButton="0" quotePrefix="0" xfId="0">
      <alignment horizontal="center" vertical="center"/>
    </xf>
    <xf numFmtId="0" fontId="3" fillId="11" borderId="3" pivotButton="0" quotePrefix="0" xfId="0"/>
    <xf numFmtId="0" fontId="3" fillId="11" borderId="3" applyAlignment="1" pivotButton="0" quotePrefix="0" xfId="0">
      <alignment horizontal="center"/>
    </xf>
    <xf numFmtId="0" fontId="3" fillId="11" borderId="3" applyAlignment="1" pivotButton="0" quotePrefix="0" xfId="0">
      <alignment horizontal="center" vertical="center"/>
    </xf>
    <xf numFmtId="0" fontId="1" fillId="11" borderId="15" applyAlignment="1" pivotButton="0" quotePrefix="0" xfId="0">
      <alignment horizontal="center" vertical="center"/>
    </xf>
    <xf numFmtId="0" fontId="3" fillId="11" borderId="15" applyAlignment="1" pivotButton="0" quotePrefix="0" xfId="0">
      <alignment horizontal="center" vertical="center"/>
    </xf>
    <xf numFmtId="0" fontId="1" fillId="11" borderId="16" applyAlignment="1" pivotButton="0" quotePrefix="0" xfId="0">
      <alignment horizontal="center" vertical="center"/>
    </xf>
    <xf numFmtId="0" fontId="1" fillId="11" borderId="17" applyAlignment="1" pivotButton="0" quotePrefix="0" xfId="0">
      <alignment horizontal="center" vertical="center"/>
    </xf>
    <xf numFmtId="0" fontId="1" fillId="11" borderId="18" applyAlignment="1" pivotButton="0" quotePrefix="0" xfId="0">
      <alignment horizontal="center" vertical="center"/>
    </xf>
    <xf numFmtId="0" fontId="3" fillId="11" borderId="18" applyAlignment="1" pivotButton="0" quotePrefix="0" xfId="0">
      <alignment horizontal="center" vertical="center"/>
    </xf>
    <xf numFmtId="0" fontId="1" fillId="11" borderId="19" applyAlignment="1" pivotButton="0" quotePrefix="0" xfId="0">
      <alignment horizontal="center" vertical="center"/>
    </xf>
    <xf numFmtId="165" fontId="3" fillId="11" borderId="12" applyAlignment="1" pivotButton="0" quotePrefix="0" xfId="0">
      <alignment horizontal="center" vertical="center"/>
    </xf>
    <xf numFmtId="164" fontId="1" fillId="11" borderId="15" applyAlignment="1" pivotButton="0" quotePrefix="0" xfId="0">
      <alignment horizontal="center" vertical="center"/>
    </xf>
    <xf numFmtId="3" fontId="1" fillId="11" borderId="15" applyAlignment="1" pivotButton="0" quotePrefix="0" xfId="0">
      <alignment horizontal="center" vertical="center"/>
    </xf>
    <xf numFmtId="0" fontId="2" fillId="2" borderId="20" applyAlignment="1" pivotButton="0" quotePrefix="0" xfId="0">
      <alignment horizontal="center" vertical="center"/>
    </xf>
    <xf numFmtId="0" fontId="0" fillId="0" borderId="2" pivotButton="0" quotePrefix="0" xfId="0"/>
    <xf numFmtId="0" fontId="1" fillId="5" borderId="20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3" fontId="1" fillId="4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1" fillId="4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3" pivotButton="0" quotePrefix="0" xfId="0"/>
    <xf numFmtId="0" fontId="0" fillId="0" borderId="24" pivotButton="0" quotePrefix="0" xfId="0"/>
    <xf numFmtId="165" fontId="3" fillId="9" borderId="20" applyAlignment="1" pivotButton="0" quotePrefix="0" xfId="0">
      <alignment horizontal="center" vertical="center"/>
    </xf>
    <xf numFmtId="164" fontId="1" fillId="4" borderId="15" applyAlignment="1" pivotButton="0" quotePrefix="0" xfId="0">
      <alignment horizontal="center" vertical="center"/>
    </xf>
    <xf numFmtId="3" fontId="1" fillId="4" borderId="1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6" pivotButton="0" quotePrefix="0" xfId="0"/>
    <xf numFmtId="0" fontId="0" fillId="0" borderId="13" pivotButton="0" quotePrefix="0" xfId="0"/>
    <xf numFmtId="0" fontId="0" fillId="0" borderId="27" pivotButton="0" quotePrefix="0" xfId="0"/>
    <xf numFmtId="165" fontId="3" fillId="11" borderId="20" applyAlignment="1" pivotButton="0" quotePrefix="0" xfId="0">
      <alignment horizontal="center" vertical="center"/>
    </xf>
    <xf numFmtId="164" fontId="1" fillId="11" borderId="15" applyAlignment="1" pivotButton="0" quotePrefix="0" xfId="0">
      <alignment horizontal="center" vertical="center"/>
    </xf>
    <xf numFmtId="3" fontId="1" fillId="11" borderId="15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2026年9月成績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46266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ハズレ</t>
        </is>
      </c>
      <c r="Q12" s="89" t="inlineStr">
        <is>
          <t>ハズレ</t>
        </is>
      </c>
      <c r="R12" s="89" t="inlineStr">
        <is>
          <t>ハズレ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>
        <v>0</v>
      </c>
      <c r="Q13" s="16" t="n">
        <v>0</v>
      </c>
      <c r="R13" s="16" t="n">
        <v>0</v>
      </c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>
        <v>12</v>
      </c>
      <c r="Q14" s="93" t="n">
        <v>12</v>
      </c>
      <c r="R14" s="93" t="n">
        <v>12</v>
      </c>
      <c r="S14" s="93" t="n"/>
      <c r="T14" s="95" t="n"/>
    </row>
    <row r="15" ht="22" customHeight="1">
      <c r="B15" s="140" t="n">
        <v>46267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46268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46269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46270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46271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46272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46273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46274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46275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46276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46277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46278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46279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46280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46281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46282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46283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46284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46285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46286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46287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46288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46289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46290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46291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46292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46293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46294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46295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2026年10月成績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46296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46297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46298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46299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46300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46301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46302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46303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46304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46305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46306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46307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46308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46309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46310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46311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46312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46313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46314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46315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46316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46317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46318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46319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46320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46321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46322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46323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46324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46325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46326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2026年11月成績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46327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46328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46329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46330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46331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46332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46333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46334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46335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46336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46337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46338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46339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46340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46341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46342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46343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46344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46345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46346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46347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46348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46349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46350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46351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46352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46353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46354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46355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46356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2026年12月成績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46357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46358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46359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46360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46361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46362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46363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46364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46365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46366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46367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46368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46369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46370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46371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46372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46373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46374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46375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46376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46377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46378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46379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46380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46381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46382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46383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46384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46385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46386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46387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2027年1月成績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46388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46389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46390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46391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46392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46393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46394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46395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46396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46397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46398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46399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46400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46401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46402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46403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46404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46405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46406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46407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46408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46409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46410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46411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46412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46413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46414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46415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46416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46417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46418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2027年2月成績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46419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46420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46421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46422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46423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46424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46425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46426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46427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46428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46429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46430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46431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46432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46433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46434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46435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46436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46437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46438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46439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46440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46441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46442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46443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46444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46445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46446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7" t="n"/>
      <c r="C96" s="148">
        <f>IFERROR(F96/E96,"-")</f>
        <v/>
      </c>
      <c r="D96" s="148">
        <f>IFERROR(H96/(G96*100),"-")</f>
        <v/>
      </c>
      <c r="E96" s="149">
        <f>SUM(K$12:K96)</f>
        <v/>
      </c>
      <c r="F96" s="149">
        <f>SUM(L$12:L96)</f>
        <v/>
      </c>
      <c r="G96" s="149">
        <f>SUM(M$12:M96)</f>
        <v/>
      </c>
      <c r="H96" s="149">
        <f>SUM(N$12:N96)</f>
        <v/>
      </c>
      <c r="I96" s="148">
        <f>IFERROR(L96/K96,"-")</f>
        <v/>
      </c>
      <c r="J96" s="148">
        <f>IFERROR(N96/(M96*100),"-")</f>
        <v/>
      </c>
      <c r="K96" s="149">
        <f>COUNTIF(P96:T96,"的中")+COUNTIF(P96:T96,"ハズレ")</f>
        <v/>
      </c>
      <c r="L96" s="149">
        <f>COUNTIF(P96:T96,"的中")</f>
        <v/>
      </c>
      <c r="M96" s="149">
        <f>SUM(P98:T98)</f>
        <v/>
      </c>
      <c r="N96" s="149">
        <f>SUMIFS(P97:T97,P96:T96,"的中")</f>
        <v/>
      </c>
      <c r="O96" s="117" t="inlineStr">
        <is>
          <t>結果</t>
        </is>
      </c>
      <c r="P96" s="116" t="n"/>
      <c r="Q96" s="116" t="n"/>
      <c r="R96" s="116" t="n"/>
      <c r="S96" s="116" t="n"/>
      <c r="T96" s="118" t="n"/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115" t="inlineStr">
        <is>
          <t>払戻金</t>
        </is>
      </c>
      <c r="P97" s="112" t="n"/>
      <c r="Q97" s="112" t="n"/>
      <c r="R97" s="112" t="n"/>
      <c r="S97" s="112" t="n"/>
      <c r="T97" s="119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121" t="inlineStr">
        <is>
          <t>購入点数</t>
        </is>
      </c>
      <c r="P98" s="120" t="n"/>
      <c r="Q98" s="120" t="n"/>
      <c r="R98" s="120" t="n"/>
      <c r="S98" s="120" t="n"/>
      <c r="T98" s="122" t="n"/>
    </row>
    <row r="99" ht="22" customHeight="1">
      <c r="B99" s="147" t="n"/>
      <c r="C99" s="148">
        <f>IFERROR(F99/E99,"-")</f>
        <v/>
      </c>
      <c r="D99" s="148">
        <f>IFERROR(H99/(G99*100),"-")</f>
        <v/>
      </c>
      <c r="E99" s="149">
        <f>SUM(K$12:K99)</f>
        <v/>
      </c>
      <c r="F99" s="149">
        <f>SUM(L$12:L99)</f>
        <v/>
      </c>
      <c r="G99" s="149">
        <f>SUM(M$12:M99)</f>
        <v/>
      </c>
      <c r="H99" s="149">
        <f>SUM(N$12:N99)</f>
        <v/>
      </c>
      <c r="I99" s="148">
        <f>IFERROR(L99/K99,"-")</f>
        <v/>
      </c>
      <c r="J99" s="148">
        <f>IFERROR(N99/(M99*100),"-")</f>
        <v/>
      </c>
      <c r="K99" s="149">
        <f>COUNTIF(P99:T99,"的中")+COUNTIF(P99:T99,"ハズレ")</f>
        <v/>
      </c>
      <c r="L99" s="149">
        <f>COUNTIF(P99:T99,"的中")</f>
        <v/>
      </c>
      <c r="M99" s="149">
        <f>SUM(P101:T101)</f>
        <v/>
      </c>
      <c r="N99" s="149">
        <f>SUMIFS(P100:T100,P99:T99,"的中")</f>
        <v/>
      </c>
      <c r="O99" s="117" t="inlineStr">
        <is>
          <t>結果</t>
        </is>
      </c>
      <c r="P99" s="116" t="n"/>
      <c r="Q99" s="116" t="n"/>
      <c r="R99" s="116" t="n"/>
      <c r="S99" s="116" t="n"/>
      <c r="T99" s="118" t="n"/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115" t="inlineStr">
        <is>
          <t>払戻金</t>
        </is>
      </c>
      <c r="P100" s="112" t="n"/>
      <c r="Q100" s="112" t="n"/>
      <c r="R100" s="112" t="n"/>
      <c r="S100" s="112" t="n"/>
      <c r="T100" s="119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121" t="inlineStr">
        <is>
          <t>購入点数</t>
        </is>
      </c>
      <c r="P101" s="120" t="n"/>
      <c r="Q101" s="120" t="n"/>
      <c r="R101" s="120" t="n"/>
      <c r="S101" s="120" t="n"/>
      <c r="T101" s="122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56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2027年3月成績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46447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46448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46449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46450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46451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46452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46453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46454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46455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46456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46457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46458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46459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46460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46461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46462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46463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46464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46465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46466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46467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46468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46469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46470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46471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46472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46473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46474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46475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46476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46477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2027年4月成績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46478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46479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46480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46481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46482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46483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46484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46485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46486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46487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46488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46489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46490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46491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46492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46493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46494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46495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46496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46497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46498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46499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46500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46501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46502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46503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46504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46505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46506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46507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2027年5月成績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46508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46509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46510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46511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46512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46513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46514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46515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46516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46517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46518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46519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46520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46521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46522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46523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46524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46525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46526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46527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46528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46529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46530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46531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46532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46533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46534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46535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46536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46537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46538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2027年6月成績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46539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46540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46541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46542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46543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46544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46545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46546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46547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46548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46549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46550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46551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46552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46553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46554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46555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46556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46557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46558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46559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46560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46561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46562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46563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46564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46565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46566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46567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46568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7" t="n"/>
      <c r="C102" s="148">
        <f>IFERROR(F102/E102,"-")</f>
        <v/>
      </c>
      <c r="D102" s="148">
        <f>IFERROR(H102/(G102*100),"-")</f>
        <v/>
      </c>
      <c r="E102" s="149">
        <f>SUM(K$12:K102)</f>
        <v/>
      </c>
      <c r="F102" s="149">
        <f>SUM(L$12:L102)</f>
        <v/>
      </c>
      <c r="G102" s="149">
        <f>SUM(M$12:M102)</f>
        <v/>
      </c>
      <c r="H102" s="149">
        <f>SUM(N$12:N102)</f>
        <v/>
      </c>
      <c r="I102" s="148">
        <f>IFERROR(L102/K102,"-")</f>
        <v/>
      </c>
      <c r="J102" s="148">
        <f>IFERROR(N102/(M102*100),"-")</f>
        <v/>
      </c>
      <c r="K102" s="149">
        <f>COUNTIF(P102:T102,"的中")+COUNTIF(P102:T102,"ハズレ")</f>
        <v/>
      </c>
      <c r="L102" s="149">
        <f>COUNTIF(P102:T102,"的中")</f>
        <v/>
      </c>
      <c r="M102" s="149">
        <f>SUM(P104:T104)</f>
        <v/>
      </c>
      <c r="N102" s="149">
        <f>SUMIFS(P103:T103,P102:T102,"的中")</f>
        <v/>
      </c>
      <c r="O102" s="117" t="inlineStr">
        <is>
          <t>結果</t>
        </is>
      </c>
      <c r="P102" s="116" t="n"/>
      <c r="Q102" s="116" t="n"/>
      <c r="R102" s="116" t="n"/>
      <c r="S102" s="116" t="n"/>
      <c r="T102" s="118" t="n"/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115" t="inlineStr">
        <is>
          <t>払戻金</t>
        </is>
      </c>
      <c r="P103" s="112" t="n"/>
      <c r="Q103" s="112" t="n"/>
      <c r="R103" s="112" t="n"/>
      <c r="S103" s="112" t="n"/>
      <c r="T103" s="119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121" t="inlineStr">
        <is>
          <t>購入点数</t>
        </is>
      </c>
      <c r="P104" s="120" t="n"/>
      <c r="Q104" s="120" t="n"/>
      <c r="R104" s="120" t="n"/>
      <c r="S104" s="120" t="n"/>
      <c r="T104" s="122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0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2027年7月成績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46569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46570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46571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46572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46573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46574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46575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46576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46577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46578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46579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46580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46581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46582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46583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46584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46585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46586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46587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46588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46589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46590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46591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46592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46593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46594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46595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46596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46597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46598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46599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T104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11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126" t="inlineStr">
        <is>
          <t>競馬 2027年8月成績</t>
        </is>
      </c>
      <c r="C2" s="127" t="n"/>
      <c r="D2" s="1" t="n"/>
      <c r="E2" s="1" t="n"/>
      <c r="F2" s="1" t="n"/>
      <c r="G2" s="1" t="n"/>
      <c r="H2" s="128" t="inlineStr">
        <is>
          <t>【競馬予想 集計シートの使い方】
入力するのはP〜T列だけです。
B〜N列は自動計算されます。
1日5レースまで記録できます。</t>
        </is>
      </c>
      <c r="I2" s="129" t="n"/>
      <c r="J2" s="129" t="n"/>
      <c r="K2" s="129" t="n"/>
      <c r="L2" s="129" t="n"/>
      <c r="M2" s="129" t="n"/>
      <c r="N2" s="130" t="n"/>
      <c r="O2" s="128" t="inlineStr">
        <is>
          <t>① 結果
的中／ハズレ／未実施を選択
② 払戻金
100円あたりの払戻金を半角数字で入力
③ 購入点数
買い目の点数を半角数字で入力</t>
        </is>
      </c>
      <c r="P2" s="129" t="n"/>
      <c r="Q2" s="129" t="n"/>
      <c r="R2" s="129" t="n"/>
      <c r="S2" s="129" t="n"/>
      <c r="T2" s="130" t="n"/>
    </row>
    <row r="3">
      <c r="B3" s="12" t="inlineStr">
        <is>
          <t>予想数</t>
        </is>
      </c>
      <c r="C3" s="131">
        <f>SUM(K12:K104)</f>
        <v/>
      </c>
      <c r="D3" s="1" t="n"/>
      <c r="E3" s="1" t="n"/>
      <c r="F3" s="1" t="n"/>
      <c r="G3" s="1" t="n"/>
      <c r="H3" s="132" t="n"/>
      <c r="N3" s="133" t="n"/>
      <c r="O3" s="132" t="n"/>
      <c r="T3" s="133" t="n"/>
    </row>
    <row r="4">
      <c r="B4" s="12" t="inlineStr">
        <is>
          <t>的中数</t>
        </is>
      </c>
      <c r="C4" s="131">
        <f>SUM(L12:L104)</f>
        <v/>
      </c>
      <c r="D4" s="1" t="n"/>
      <c r="E4" s="1" t="n"/>
      <c r="F4" s="1" t="n"/>
      <c r="G4" s="1" t="n"/>
      <c r="H4" s="132" t="n"/>
      <c r="N4" s="133" t="n"/>
      <c r="O4" s="132" t="n"/>
      <c r="T4" s="133" t="n"/>
    </row>
    <row r="5">
      <c r="B5" s="12" t="inlineStr">
        <is>
          <t>購入点数</t>
        </is>
      </c>
      <c r="C5" s="131">
        <f>SUM(M12:M104)</f>
        <v/>
      </c>
      <c r="D5" s="1" t="n"/>
      <c r="E5" s="1" t="n"/>
      <c r="F5" s="1" t="n"/>
      <c r="G5" s="1" t="n"/>
      <c r="H5" s="132" t="n"/>
      <c r="N5" s="133" t="n"/>
      <c r="O5" s="132" t="n"/>
      <c r="T5" s="133" t="n"/>
    </row>
    <row r="6">
      <c r="B6" s="12" t="inlineStr">
        <is>
          <t>払戻金</t>
        </is>
      </c>
      <c r="C6" s="131">
        <f>SUM(N12:N104)</f>
        <v/>
      </c>
      <c r="D6" s="1" t="n"/>
      <c r="E6" s="1" t="n"/>
      <c r="F6" s="1" t="n"/>
      <c r="G6" s="1" t="n"/>
      <c r="H6" s="132" t="n"/>
      <c r="N6" s="133" t="n"/>
      <c r="O6" s="132" t="n"/>
      <c r="T6" s="133" t="n"/>
    </row>
    <row r="7">
      <c r="B7" s="12" t="inlineStr">
        <is>
          <t>的中率</t>
        </is>
      </c>
      <c r="C7" s="134">
        <f>IFERROR(C4/C3,"-")</f>
        <v/>
      </c>
      <c r="D7" s="1" t="n"/>
      <c r="E7" s="1" t="n"/>
      <c r="F7" s="1" t="n"/>
      <c r="G7" s="1" t="n"/>
      <c r="H7" s="132" t="n"/>
      <c r="N7" s="133" t="n"/>
      <c r="O7" s="132" t="n"/>
      <c r="T7" s="133" t="n"/>
    </row>
    <row r="8">
      <c r="B8" s="12" t="inlineStr">
        <is>
          <t>回収率</t>
        </is>
      </c>
      <c r="C8" s="134">
        <f>IFERROR(C6/(C5*100),"-")</f>
        <v/>
      </c>
      <c r="D8" s="1" t="n"/>
      <c r="E8" s="1" t="n"/>
      <c r="F8" s="1" t="n"/>
      <c r="G8" s="1" t="n"/>
      <c r="H8" s="135" t="n"/>
      <c r="I8" s="136" t="n"/>
      <c r="J8" s="136" t="n"/>
      <c r="K8" s="136" t="n"/>
      <c r="L8" s="136" t="n"/>
      <c r="M8" s="136" t="n"/>
      <c r="N8" s="137" t="n"/>
      <c r="O8" s="135" t="n"/>
      <c r="P8" s="136" t="n"/>
      <c r="Q8" s="136" t="n"/>
      <c r="R8" s="136" t="n"/>
      <c r="S8" s="136" t="n"/>
      <c r="T8" s="137" t="n"/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38" customHeight="1">
      <c r="B10" s="54" t="inlineStr">
        <is>
          <t>原田さん
競馬予想</t>
        </is>
      </c>
      <c r="C10" s="60" t="inlineStr">
        <is>
          <t>その日までの
的中率</t>
        </is>
      </c>
      <c r="D10" s="60" t="inlineStr">
        <is>
          <t>その日までの
回収率</t>
        </is>
      </c>
      <c r="E10" s="60" t="inlineStr">
        <is>
          <t>累計
予想数</t>
        </is>
      </c>
      <c r="F10" s="60" t="inlineStr">
        <is>
          <t>累計
的中数</t>
        </is>
      </c>
      <c r="G10" s="60" t="inlineStr">
        <is>
          <t>累計
購入点数</t>
        </is>
      </c>
      <c r="H10" s="60" t="inlineStr">
        <is>
          <t>累計
払戻金</t>
        </is>
      </c>
      <c r="I10" s="66" t="inlineStr">
        <is>
          <t>当日の
的中率</t>
        </is>
      </c>
      <c r="J10" s="66" t="inlineStr">
        <is>
          <t>当日の
回収率</t>
        </is>
      </c>
      <c r="K10" s="66" t="inlineStr">
        <is>
          <t>当日
予想数</t>
        </is>
      </c>
      <c r="L10" s="66" t="inlineStr">
        <is>
          <t>当日
的中数</t>
        </is>
      </c>
      <c r="M10" s="66" t="inlineStr">
        <is>
          <t>当日
購入点数</t>
        </is>
      </c>
      <c r="N10" s="66" t="inlineStr">
        <is>
          <t>当日
払戻金</t>
        </is>
      </c>
      <c r="O10" s="72" t="inlineStr">
        <is>
          <t>レース別入力</t>
        </is>
      </c>
      <c r="P10" s="138" t="n"/>
      <c r="Q10" s="138" t="n"/>
      <c r="R10" s="138" t="n"/>
      <c r="S10" s="138" t="n"/>
      <c r="T10" s="139" t="n"/>
    </row>
    <row r="11" ht="38" customHeight="1">
      <c r="B11" s="55" t="inlineStr">
        <is>
          <t>日付</t>
        </is>
      </c>
      <c r="C11" s="60" t="inlineStr">
        <is>
          <t>累計
的中率</t>
        </is>
      </c>
      <c r="D11" s="60" t="inlineStr">
        <is>
          <t>累計
回収率</t>
        </is>
      </c>
      <c r="E11" s="60" t="inlineStr">
        <is>
          <t>累計
予想数</t>
        </is>
      </c>
      <c r="F11" s="60" t="inlineStr">
        <is>
          <t>累計
的中数</t>
        </is>
      </c>
      <c r="G11" s="60" t="inlineStr">
        <is>
          <t>累計
購入点数</t>
        </is>
      </c>
      <c r="H11" s="60" t="inlineStr">
        <is>
          <t>累計
払戻金</t>
        </is>
      </c>
      <c r="I11" s="66" t="inlineStr">
        <is>
          <t>当日
的中率</t>
        </is>
      </c>
      <c r="J11" s="66" t="inlineStr">
        <is>
          <t>当日
回収率</t>
        </is>
      </c>
      <c r="K11" s="66" t="inlineStr">
        <is>
          <t>当日
予想数</t>
        </is>
      </c>
      <c r="L11" s="66" t="inlineStr">
        <is>
          <t>当日
的中数</t>
        </is>
      </c>
      <c r="M11" s="66" t="inlineStr">
        <is>
          <t>当日
購入点数</t>
        </is>
      </c>
      <c r="N11" s="66" t="inlineStr">
        <is>
          <t>当日
払戻金</t>
        </is>
      </c>
      <c r="O11" s="72" t="inlineStr">
        <is>
          <t>入力項目</t>
        </is>
      </c>
      <c r="P11" s="72" t="inlineStr">
        <is>
          <t>1本目</t>
        </is>
      </c>
      <c r="Q11" s="72" t="inlineStr">
        <is>
          <t>2本目</t>
        </is>
      </c>
      <c r="R11" s="72" t="inlineStr">
        <is>
          <t>3本目</t>
        </is>
      </c>
      <c r="S11" s="72" t="inlineStr">
        <is>
          <t>4本目</t>
        </is>
      </c>
      <c r="T11" s="72" t="inlineStr">
        <is>
          <t>5本目</t>
        </is>
      </c>
    </row>
    <row r="12" ht="22" customHeight="1">
      <c r="B12" s="140" t="n">
        <v>46600</v>
      </c>
      <c r="C12" s="141">
        <f>IFERROR(F12/E12,"-")</f>
        <v/>
      </c>
      <c r="D12" s="141">
        <f>IFERROR(H12/(G12*100),"-")</f>
        <v/>
      </c>
      <c r="E12" s="142">
        <f>SUM(K$12:K12)</f>
        <v/>
      </c>
      <c r="F12" s="142">
        <f>SUM(L$12:L12)</f>
        <v/>
      </c>
      <c r="G12" s="142">
        <f>SUM(M$12:M12)</f>
        <v/>
      </c>
      <c r="H12" s="142">
        <f>SUM(N$12:N12)</f>
        <v/>
      </c>
      <c r="I12" s="141">
        <f>IFERROR(L12/K12,"-")</f>
        <v/>
      </c>
      <c r="J12" s="141">
        <f>IFERROR(N12/(M12*100),"-")</f>
        <v/>
      </c>
      <c r="K12" s="142">
        <f>COUNTIF(P12:T12,"的中")+COUNTIF(P12:T12,"ハズレ")</f>
        <v/>
      </c>
      <c r="L12" s="142">
        <f>COUNTIF(P12:T12,"的中")</f>
        <v/>
      </c>
      <c r="M12" s="142">
        <f>SUM(P14:T14)</f>
        <v/>
      </c>
      <c r="N12" s="142">
        <f>SUMIFS(P13:T13,P12:T12,"的中")</f>
        <v/>
      </c>
      <c r="O12" s="90" t="inlineStr">
        <is>
          <t>結果</t>
        </is>
      </c>
      <c r="P12" s="89" t="inlineStr">
        <is>
          <t>未実施</t>
        </is>
      </c>
      <c r="Q12" s="89" t="inlineStr">
        <is>
          <t>未実施</t>
        </is>
      </c>
      <c r="R12" s="89" t="inlineStr">
        <is>
          <t>未実施</t>
        </is>
      </c>
      <c r="S12" s="89" t="inlineStr">
        <is>
          <t>未実施</t>
        </is>
      </c>
      <c r="T12" s="91" t="inlineStr">
        <is>
          <t>未実施</t>
        </is>
      </c>
    </row>
    <row r="13" ht="22" customHeight="1">
      <c r="B13" s="143" t="n"/>
      <c r="C13" s="144" t="n"/>
      <c r="D13" s="144" t="n"/>
      <c r="E13" s="144" t="n"/>
      <c r="F13" s="144" t="n"/>
      <c r="G13" s="144" t="n"/>
      <c r="H13" s="144" t="n"/>
      <c r="I13" s="144" t="n"/>
      <c r="J13" s="144" t="n"/>
      <c r="K13" s="144" t="n"/>
      <c r="L13" s="144" t="n"/>
      <c r="M13" s="144" t="n"/>
      <c r="N13" s="144" t="n"/>
      <c r="O13" s="88" t="inlineStr">
        <is>
          <t>払戻金</t>
        </is>
      </c>
      <c r="P13" s="16" t="n"/>
      <c r="Q13" s="16" t="n"/>
      <c r="R13" s="16" t="n"/>
      <c r="S13" s="16" t="n"/>
      <c r="T13" s="92" t="n"/>
    </row>
    <row r="14" ht="22" customHeight="1">
      <c r="B14" s="145" t="n"/>
      <c r="C14" s="146" t="n"/>
      <c r="D14" s="146" t="n"/>
      <c r="E14" s="146" t="n"/>
      <c r="F14" s="146" t="n"/>
      <c r="G14" s="146" t="n"/>
      <c r="H14" s="146" t="n"/>
      <c r="I14" s="146" t="n"/>
      <c r="J14" s="146" t="n"/>
      <c r="K14" s="146" t="n"/>
      <c r="L14" s="146" t="n"/>
      <c r="M14" s="146" t="n"/>
      <c r="N14" s="146" t="n"/>
      <c r="O14" s="94" t="inlineStr">
        <is>
          <t>購入点数</t>
        </is>
      </c>
      <c r="P14" s="93" t="n"/>
      <c r="Q14" s="93" t="n"/>
      <c r="R14" s="93" t="n"/>
      <c r="S14" s="93" t="n"/>
      <c r="T14" s="95" t="n"/>
    </row>
    <row r="15" ht="22" customHeight="1">
      <c r="B15" s="140" t="n">
        <v>46601</v>
      </c>
      <c r="C15" s="141">
        <f>IFERROR(F15/E15,"-")</f>
        <v/>
      </c>
      <c r="D15" s="141">
        <f>IFERROR(H15/(G15*100),"-")</f>
        <v/>
      </c>
      <c r="E15" s="142">
        <f>SUM(K$12:K15)</f>
        <v/>
      </c>
      <c r="F15" s="142">
        <f>SUM(L$12:L15)</f>
        <v/>
      </c>
      <c r="G15" s="142">
        <f>SUM(M$12:M15)</f>
        <v/>
      </c>
      <c r="H15" s="142">
        <f>SUM(N$12:N15)</f>
        <v/>
      </c>
      <c r="I15" s="141">
        <f>IFERROR(L15/K15,"-")</f>
        <v/>
      </c>
      <c r="J15" s="141">
        <f>IFERROR(N15/(M15*100),"-")</f>
        <v/>
      </c>
      <c r="K15" s="142">
        <f>COUNTIF(P15:T15,"的中")+COUNTIF(P15:T15,"ハズレ")</f>
        <v/>
      </c>
      <c r="L15" s="142">
        <f>COUNTIF(P15:T15,"的中")</f>
        <v/>
      </c>
      <c r="M15" s="142">
        <f>SUM(P17:T17)</f>
        <v/>
      </c>
      <c r="N15" s="142">
        <f>SUMIFS(P16:T16,P15:T15,"的中")</f>
        <v/>
      </c>
      <c r="O15" s="90" t="inlineStr">
        <is>
          <t>結果</t>
        </is>
      </c>
      <c r="P15" s="89" t="inlineStr">
        <is>
          <t>未実施</t>
        </is>
      </c>
      <c r="Q15" s="89" t="inlineStr">
        <is>
          <t>未実施</t>
        </is>
      </c>
      <c r="R15" s="89" t="inlineStr">
        <is>
          <t>未実施</t>
        </is>
      </c>
      <c r="S15" s="89" t="inlineStr">
        <is>
          <t>未実施</t>
        </is>
      </c>
      <c r="T15" s="91" t="inlineStr">
        <is>
          <t>未実施</t>
        </is>
      </c>
    </row>
    <row r="16" ht="22" customHeight="1">
      <c r="B16" s="143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44" t="n"/>
      <c r="N16" s="144" t="n"/>
      <c r="O16" s="88" t="inlineStr">
        <is>
          <t>払戻金</t>
        </is>
      </c>
      <c r="P16" s="16" t="n"/>
      <c r="Q16" s="16" t="n"/>
      <c r="R16" s="16" t="n"/>
      <c r="S16" s="16" t="n"/>
      <c r="T16" s="92" t="n"/>
    </row>
    <row r="17" ht="22" customHeight="1">
      <c r="B17" s="145" t="n"/>
      <c r="C17" s="146" t="n"/>
      <c r="D17" s="146" t="n"/>
      <c r="E17" s="146" t="n"/>
      <c r="F17" s="146" t="n"/>
      <c r="G17" s="146" t="n"/>
      <c r="H17" s="146" t="n"/>
      <c r="I17" s="146" t="n"/>
      <c r="J17" s="146" t="n"/>
      <c r="K17" s="146" t="n"/>
      <c r="L17" s="146" t="n"/>
      <c r="M17" s="146" t="n"/>
      <c r="N17" s="146" t="n"/>
      <c r="O17" s="94" t="inlineStr">
        <is>
          <t>購入点数</t>
        </is>
      </c>
      <c r="P17" s="93" t="n"/>
      <c r="Q17" s="93" t="n"/>
      <c r="R17" s="93" t="n"/>
      <c r="S17" s="93" t="n"/>
      <c r="T17" s="95" t="n"/>
    </row>
    <row r="18" ht="22" customHeight="1">
      <c r="B18" s="140" t="n">
        <v>46602</v>
      </c>
      <c r="C18" s="141">
        <f>IFERROR(F18/E18,"-")</f>
        <v/>
      </c>
      <c r="D18" s="141">
        <f>IFERROR(H18/(G18*100),"-")</f>
        <v/>
      </c>
      <c r="E18" s="142">
        <f>SUM(K$12:K18)</f>
        <v/>
      </c>
      <c r="F18" s="142">
        <f>SUM(L$12:L18)</f>
        <v/>
      </c>
      <c r="G18" s="142">
        <f>SUM(M$12:M18)</f>
        <v/>
      </c>
      <c r="H18" s="142">
        <f>SUM(N$12:N18)</f>
        <v/>
      </c>
      <c r="I18" s="141">
        <f>IFERROR(L18/K18,"-")</f>
        <v/>
      </c>
      <c r="J18" s="141">
        <f>IFERROR(N18/(M18*100),"-")</f>
        <v/>
      </c>
      <c r="K18" s="142">
        <f>COUNTIF(P18:T18,"的中")+COUNTIF(P18:T18,"ハズレ")</f>
        <v/>
      </c>
      <c r="L18" s="142">
        <f>COUNTIF(P18:T18,"的中")</f>
        <v/>
      </c>
      <c r="M18" s="142">
        <f>SUM(P20:T20)</f>
        <v/>
      </c>
      <c r="N18" s="142">
        <f>SUMIFS(P19:T19,P18:T18,"的中")</f>
        <v/>
      </c>
      <c r="O18" s="90" t="inlineStr">
        <is>
          <t>結果</t>
        </is>
      </c>
      <c r="P18" s="89" t="inlineStr">
        <is>
          <t>未実施</t>
        </is>
      </c>
      <c r="Q18" s="89" t="inlineStr">
        <is>
          <t>未実施</t>
        </is>
      </c>
      <c r="R18" s="89" t="inlineStr">
        <is>
          <t>未実施</t>
        </is>
      </c>
      <c r="S18" s="89" t="inlineStr">
        <is>
          <t>未実施</t>
        </is>
      </c>
      <c r="T18" s="91" t="inlineStr">
        <is>
          <t>未実施</t>
        </is>
      </c>
    </row>
    <row r="19" ht="22" customHeight="1">
      <c r="B19" s="143" t="n"/>
      <c r="C19" s="144" t="n"/>
      <c r="D19" s="144" t="n"/>
      <c r="E19" s="144" t="n"/>
      <c r="F19" s="144" t="n"/>
      <c r="G19" s="144" t="n"/>
      <c r="H19" s="144" t="n"/>
      <c r="I19" s="144" t="n"/>
      <c r="J19" s="144" t="n"/>
      <c r="K19" s="144" t="n"/>
      <c r="L19" s="144" t="n"/>
      <c r="M19" s="144" t="n"/>
      <c r="N19" s="144" t="n"/>
      <c r="O19" s="88" t="inlineStr">
        <is>
          <t>払戻金</t>
        </is>
      </c>
      <c r="P19" s="16" t="n"/>
      <c r="Q19" s="16" t="n"/>
      <c r="R19" s="16" t="n"/>
      <c r="S19" s="16" t="n"/>
      <c r="T19" s="92" t="n"/>
    </row>
    <row r="20" ht="22" customHeight="1">
      <c r="B20" s="145" t="n"/>
      <c r="C20" s="146" t="n"/>
      <c r="D20" s="146" t="n"/>
      <c r="E20" s="146" t="n"/>
      <c r="F20" s="146" t="n"/>
      <c r="G20" s="146" t="n"/>
      <c r="H20" s="146" t="n"/>
      <c r="I20" s="146" t="n"/>
      <c r="J20" s="146" t="n"/>
      <c r="K20" s="146" t="n"/>
      <c r="L20" s="146" t="n"/>
      <c r="M20" s="146" t="n"/>
      <c r="N20" s="146" t="n"/>
      <c r="O20" s="94" t="inlineStr">
        <is>
          <t>購入点数</t>
        </is>
      </c>
      <c r="P20" s="93" t="n"/>
      <c r="Q20" s="93" t="n"/>
      <c r="R20" s="93" t="n"/>
      <c r="S20" s="93" t="n"/>
      <c r="T20" s="95" t="n"/>
    </row>
    <row r="21" ht="22" customHeight="1">
      <c r="B21" s="140" t="n">
        <v>46603</v>
      </c>
      <c r="C21" s="141">
        <f>IFERROR(F21/E21,"-")</f>
        <v/>
      </c>
      <c r="D21" s="141">
        <f>IFERROR(H21/(G21*100),"-")</f>
        <v/>
      </c>
      <c r="E21" s="142">
        <f>SUM(K$12:K21)</f>
        <v/>
      </c>
      <c r="F21" s="142">
        <f>SUM(L$12:L21)</f>
        <v/>
      </c>
      <c r="G21" s="142">
        <f>SUM(M$12:M21)</f>
        <v/>
      </c>
      <c r="H21" s="142">
        <f>SUM(N$12:N21)</f>
        <v/>
      </c>
      <c r="I21" s="141">
        <f>IFERROR(L21/K21,"-")</f>
        <v/>
      </c>
      <c r="J21" s="141">
        <f>IFERROR(N21/(M21*100),"-")</f>
        <v/>
      </c>
      <c r="K21" s="142">
        <f>COUNTIF(P21:T21,"的中")+COUNTIF(P21:T21,"ハズレ")</f>
        <v/>
      </c>
      <c r="L21" s="142">
        <f>COUNTIF(P21:T21,"的中")</f>
        <v/>
      </c>
      <c r="M21" s="142">
        <f>SUM(P23:T23)</f>
        <v/>
      </c>
      <c r="N21" s="142">
        <f>SUMIFS(P22:T22,P21:T21,"的中")</f>
        <v/>
      </c>
      <c r="O21" s="90" t="inlineStr">
        <is>
          <t>結果</t>
        </is>
      </c>
      <c r="P21" s="89" t="inlineStr">
        <is>
          <t>未実施</t>
        </is>
      </c>
      <c r="Q21" s="89" t="inlineStr">
        <is>
          <t>未実施</t>
        </is>
      </c>
      <c r="R21" s="89" t="inlineStr">
        <is>
          <t>未実施</t>
        </is>
      </c>
      <c r="S21" s="89" t="inlineStr">
        <is>
          <t>未実施</t>
        </is>
      </c>
      <c r="T21" s="91" t="inlineStr">
        <is>
          <t>未実施</t>
        </is>
      </c>
    </row>
    <row r="22" ht="22" customHeight="1">
      <c r="B22" s="143" t="n"/>
      <c r="C22" s="144" t="n"/>
      <c r="D22" s="144" t="n"/>
      <c r="E22" s="144" t="n"/>
      <c r="F22" s="144" t="n"/>
      <c r="G22" s="144" t="n"/>
      <c r="H22" s="144" t="n"/>
      <c r="I22" s="144" t="n"/>
      <c r="J22" s="144" t="n"/>
      <c r="K22" s="144" t="n"/>
      <c r="L22" s="144" t="n"/>
      <c r="M22" s="144" t="n"/>
      <c r="N22" s="144" t="n"/>
      <c r="O22" s="88" t="inlineStr">
        <is>
          <t>払戻金</t>
        </is>
      </c>
      <c r="P22" s="16" t="n"/>
      <c r="Q22" s="16" t="n"/>
      <c r="R22" s="16" t="n"/>
      <c r="S22" s="16" t="n"/>
      <c r="T22" s="92" t="n"/>
    </row>
    <row r="23" ht="22" customHeight="1">
      <c r="B23" s="145" t="n"/>
      <c r="C23" s="146" t="n"/>
      <c r="D23" s="146" t="n"/>
      <c r="E23" s="146" t="n"/>
      <c r="F23" s="146" t="n"/>
      <c r="G23" s="146" t="n"/>
      <c r="H23" s="146" t="n"/>
      <c r="I23" s="146" t="n"/>
      <c r="J23" s="146" t="n"/>
      <c r="K23" s="146" t="n"/>
      <c r="L23" s="146" t="n"/>
      <c r="M23" s="146" t="n"/>
      <c r="N23" s="146" t="n"/>
      <c r="O23" s="94" t="inlineStr">
        <is>
          <t>購入点数</t>
        </is>
      </c>
      <c r="P23" s="93" t="n"/>
      <c r="Q23" s="93" t="n"/>
      <c r="R23" s="93" t="n"/>
      <c r="S23" s="93" t="n"/>
      <c r="T23" s="95" t="n"/>
    </row>
    <row r="24" ht="22" customHeight="1">
      <c r="B24" s="140" t="n">
        <v>46604</v>
      </c>
      <c r="C24" s="141">
        <f>IFERROR(F24/E24,"-")</f>
        <v/>
      </c>
      <c r="D24" s="141">
        <f>IFERROR(H24/(G24*100),"-")</f>
        <v/>
      </c>
      <c r="E24" s="142">
        <f>SUM(K$12:K24)</f>
        <v/>
      </c>
      <c r="F24" s="142">
        <f>SUM(L$12:L24)</f>
        <v/>
      </c>
      <c r="G24" s="142">
        <f>SUM(M$12:M24)</f>
        <v/>
      </c>
      <c r="H24" s="142">
        <f>SUM(N$12:N24)</f>
        <v/>
      </c>
      <c r="I24" s="141">
        <f>IFERROR(L24/K24,"-")</f>
        <v/>
      </c>
      <c r="J24" s="141">
        <f>IFERROR(N24/(M24*100),"-")</f>
        <v/>
      </c>
      <c r="K24" s="142">
        <f>COUNTIF(P24:T24,"的中")+COUNTIF(P24:T24,"ハズレ")</f>
        <v/>
      </c>
      <c r="L24" s="142">
        <f>COUNTIF(P24:T24,"的中")</f>
        <v/>
      </c>
      <c r="M24" s="142">
        <f>SUM(P26:T26)</f>
        <v/>
      </c>
      <c r="N24" s="142">
        <f>SUMIFS(P25:T25,P24:T24,"的中")</f>
        <v/>
      </c>
      <c r="O24" s="90" t="inlineStr">
        <is>
          <t>結果</t>
        </is>
      </c>
      <c r="P24" s="89" t="inlineStr">
        <is>
          <t>未実施</t>
        </is>
      </c>
      <c r="Q24" s="89" t="inlineStr">
        <is>
          <t>未実施</t>
        </is>
      </c>
      <c r="R24" s="89" t="inlineStr">
        <is>
          <t>未実施</t>
        </is>
      </c>
      <c r="S24" s="89" t="inlineStr">
        <is>
          <t>未実施</t>
        </is>
      </c>
      <c r="T24" s="91" t="inlineStr">
        <is>
          <t>未実施</t>
        </is>
      </c>
    </row>
    <row r="25" ht="22" customHeight="1">
      <c r="B25" s="143" t="n"/>
      <c r="C25" s="144" t="n"/>
      <c r="D25" s="144" t="n"/>
      <c r="E25" s="144" t="n"/>
      <c r="F25" s="144" t="n"/>
      <c r="G25" s="144" t="n"/>
      <c r="H25" s="144" t="n"/>
      <c r="I25" s="144" t="n"/>
      <c r="J25" s="144" t="n"/>
      <c r="K25" s="144" t="n"/>
      <c r="L25" s="144" t="n"/>
      <c r="M25" s="144" t="n"/>
      <c r="N25" s="144" t="n"/>
      <c r="O25" s="88" t="inlineStr">
        <is>
          <t>払戻金</t>
        </is>
      </c>
      <c r="P25" s="16" t="n"/>
      <c r="Q25" s="16" t="n"/>
      <c r="R25" s="16" t="n"/>
      <c r="S25" s="16" t="n"/>
      <c r="T25" s="92" t="n"/>
    </row>
    <row r="26" ht="22" customHeight="1">
      <c r="B26" s="145" t="n"/>
      <c r="C26" s="146" t="n"/>
      <c r="D26" s="146" t="n"/>
      <c r="E26" s="146" t="n"/>
      <c r="F26" s="146" t="n"/>
      <c r="G26" s="146" t="n"/>
      <c r="H26" s="146" t="n"/>
      <c r="I26" s="146" t="n"/>
      <c r="J26" s="146" t="n"/>
      <c r="K26" s="146" t="n"/>
      <c r="L26" s="146" t="n"/>
      <c r="M26" s="146" t="n"/>
      <c r="N26" s="146" t="n"/>
      <c r="O26" s="94" t="inlineStr">
        <is>
          <t>購入点数</t>
        </is>
      </c>
      <c r="P26" s="93" t="n"/>
      <c r="Q26" s="93" t="n"/>
      <c r="R26" s="93" t="n"/>
      <c r="S26" s="93" t="n"/>
      <c r="T26" s="95" t="n"/>
    </row>
    <row r="27" ht="22" customHeight="1">
      <c r="B27" s="140" t="n">
        <v>46605</v>
      </c>
      <c r="C27" s="141">
        <f>IFERROR(F27/E27,"-")</f>
        <v/>
      </c>
      <c r="D27" s="141">
        <f>IFERROR(H27/(G27*100),"-")</f>
        <v/>
      </c>
      <c r="E27" s="142">
        <f>SUM(K$12:K27)</f>
        <v/>
      </c>
      <c r="F27" s="142">
        <f>SUM(L$12:L27)</f>
        <v/>
      </c>
      <c r="G27" s="142">
        <f>SUM(M$12:M27)</f>
        <v/>
      </c>
      <c r="H27" s="142">
        <f>SUM(N$12:N27)</f>
        <v/>
      </c>
      <c r="I27" s="141">
        <f>IFERROR(L27/K27,"-")</f>
        <v/>
      </c>
      <c r="J27" s="141">
        <f>IFERROR(N27/(M27*100),"-")</f>
        <v/>
      </c>
      <c r="K27" s="142">
        <f>COUNTIF(P27:T27,"的中")+COUNTIF(P27:T27,"ハズレ")</f>
        <v/>
      </c>
      <c r="L27" s="142">
        <f>COUNTIF(P27:T27,"的中")</f>
        <v/>
      </c>
      <c r="M27" s="142">
        <f>SUM(P29:T29)</f>
        <v/>
      </c>
      <c r="N27" s="142">
        <f>SUMIFS(P28:T28,P27:T27,"的中")</f>
        <v/>
      </c>
      <c r="O27" s="90" t="inlineStr">
        <is>
          <t>結果</t>
        </is>
      </c>
      <c r="P27" s="89" t="inlineStr">
        <is>
          <t>未実施</t>
        </is>
      </c>
      <c r="Q27" s="89" t="inlineStr">
        <is>
          <t>未実施</t>
        </is>
      </c>
      <c r="R27" s="89" t="inlineStr">
        <is>
          <t>未実施</t>
        </is>
      </c>
      <c r="S27" s="89" t="inlineStr">
        <is>
          <t>未実施</t>
        </is>
      </c>
      <c r="T27" s="91" t="inlineStr">
        <is>
          <t>未実施</t>
        </is>
      </c>
    </row>
    <row r="28" ht="22" customHeight="1">
      <c r="B28" s="143" t="n"/>
      <c r="C28" s="144" t="n"/>
      <c r="D28" s="144" t="n"/>
      <c r="E28" s="144" t="n"/>
      <c r="F28" s="144" t="n"/>
      <c r="G28" s="144" t="n"/>
      <c r="H28" s="144" t="n"/>
      <c r="I28" s="144" t="n"/>
      <c r="J28" s="144" t="n"/>
      <c r="K28" s="144" t="n"/>
      <c r="L28" s="144" t="n"/>
      <c r="M28" s="144" t="n"/>
      <c r="N28" s="144" t="n"/>
      <c r="O28" s="88" t="inlineStr">
        <is>
          <t>払戻金</t>
        </is>
      </c>
      <c r="P28" s="16" t="n"/>
      <c r="Q28" s="16" t="n"/>
      <c r="R28" s="16" t="n"/>
      <c r="S28" s="16" t="n"/>
      <c r="T28" s="92" t="n"/>
    </row>
    <row r="29" ht="22" customHeight="1">
      <c r="B29" s="145" t="n"/>
      <c r="C29" s="146" t="n"/>
      <c r="D29" s="146" t="n"/>
      <c r="E29" s="146" t="n"/>
      <c r="F29" s="146" t="n"/>
      <c r="G29" s="146" t="n"/>
      <c r="H29" s="146" t="n"/>
      <c r="I29" s="146" t="n"/>
      <c r="J29" s="146" t="n"/>
      <c r="K29" s="146" t="n"/>
      <c r="L29" s="146" t="n"/>
      <c r="M29" s="146" t="n"/>
      <c r="N29" s="146" t="n"/>
      <c r="O29" s="94" t="inlineStr">
        <is>
          <t>購入点数</t>
        </is>
      </c>
      <c r="P29" s="93" t="n"/>
      <c r="Q29" s="93" t="n"/>
      <c r="R29" s="93" t="n"/>
      <c r="S29" s="93" t="n"/>
      <c r="T29" s="95" t="n"/>
    </row>
    <row r="30" ht="22" customHeight="1">
      <c r="B30" s="140" t="n">
        <v>46606</v>
      </c>
      <c r="C30" s="141">
        <f>IFERROR(F30/E30,"-")</f>
        <v/>
      </c>
      <c r="D30" s="141">
        <f>IFERROR(H30/(G30*100),"-")</f>
        <v/>
      </c>
      <c r="E30" s="142">
        <f>SUM(K$12:K30)</f>
        <v/>
      </c>
      <c r="F30" s="142">
        <f>SUM(L$12:L30)</f>
        <v/>
      </c>
      <c r="G30" s="142">
        <f>SUM(M$12:M30)</f>
        <v/>
      </c>
      <c r="H30" s="142">
        <f>SUM(N$12:N30)</f>
        <v/>
      </c>
      <c r="I30" s="141">
        <f>IFERROR(L30/K30,"-")</f>
        <v/>
      </c>
      <c r="J30" s="141">
        <f>IFERROR(N30/(M30*100),"-")</f>
        <v/>
      </c>
      <c r="K30" s="142">
        <f>COUNTIF(P30:T30,"的中")+COUNTIF(P30:T30,"ハズレ")</f>
        <v/>
      </c>
      <c r="L30" s="142">
        <f>COUNTIF(P30:T30,"的中")</f>
        <v/>
      </c>
      <c r="M30" s="142">
        <f>SUM(P32:T32)</f>
        <v/>
      </c>
      <c r="N30" s="142">
        <f>SUMIFS(P31:T31,P30:T30,"的中")</f>
        <v/>
      </c>
      <c r="O30" s="90" t="inlineStr">
        <is>
          <t>結果</t>
        </is>
      </c>
      <c r="P30" s="89" t="inlineStr">
        <is>
          <t>未実施</t>
        </is>
      </c>
      <c r="Q30" s="89" t="inlineStr">
        <is>
          <t>未実施</t>
        </is>
      </c>
      <c r="R30" s="89" t="inlineStr">
        <is>
          <t>未実施</t>
        </is>
      </c>
      <c r="S30" s="89" t="inlineStr">
        <is>
          <t>未実施</t>
        </is>
      </c>
      <c r="T30" s="91" t="inlineStr">
        <is>
          <t>未実施</t>
        </is>
      </c>
    </row>
    <row r="31" ht="22" customHeight="1">
      <c r="B31" s="143" t="n"/>
      <c r="C31" s="144" t="n"/>
      <c r="D31" s="144" t="n"/>
      <c r="E31" s="144" t="n"/>
      <c r="F31" s="144" t="n"/>
      <c r="G31" s="144" t="n"/>
      <c r="H31" s="144" t="n"/>
      <c r="I31" s="144" t="n"/>
      <c r="J31" s="144" t="n"/>
      <c r="K31" s="144" t="n"/>
      <c r="L31" s="144" t="n"/>
      <c r="M31" s="144" t="n"/>
      <c r="N31" s="144" t="n"/>
      <c r="O31" s="88" t="inlineStr">
        <is>
          <t>払戻金</t>
        </is>
      </c>
      <c r="P31" s="16" t="n"/>
      <c r="Q31" s="16" t="n"/>
      <c r="R31" s="16" t="n"/>
      <c r="S31" s="16" t="n"/>
      <c r="T31" s="92" t="n"/>
    </row>
    <row r="32" ht="22" customHeight="1">
      <c r="B32" s="145" t="n"/>
      <c r="C32" s="146" t="n"/>
      <c r="D32" s="146" t="n"/>
      <c r="E32" s="146" t="n"/>
      <c r="F32" s="146" t="n"/>
      <c r="G32" s="146" t="n"/>
      <c r="H32" s="146" t="n"/>
      <c r="I32" s="146" t="n"/>
      <c r="J32" s="146" t="n"/>
      <c r="K32" s="146" t="n"/>
      <c r="L32" s="146" t="n"/>
      <c r="M32" s="146" t="n"/>
      <c r="N32" s="146" t="n"/>
      <c r="O32" s="94" t="inlineStr">
        <is>
          <t>購入点数</t>
        </is>
      </c>
      <c r="P32" s="93" t="n"/>
      <c r="Q32" s="93" t="n"/>
      <c r="R32" s="93" t="n"/>
      <c r="S32" s="93" t="n"/>
      <c r="T32" s="95" t="n"/>
    </row>
    <row r="33" ht="22" customHeight="1">
      <c r="B33" s="140" t="n">
        <v>46607</v>
      </c>
      <c r="C33" s="141">
        <f>IFERROR(F33/E33,"-")</f>
        <v/>
      </c>
      <c r="D33" s="141">
        <f>IFERROR(H33/(G33*100),"-")</f>
        <v/>
      </c>
      <c r="E33" s="142">
        <f>SUM(K$12:K33)</f>
        <v/>
      </c>
      <c r="F33" s="142">
        <f>SUM(L$12:L33)</f>
        <v/>
      </c>
      <c r="G33" s="142">
        <f>SUM(M$12:M33)</f>
        <v/>
      </c>
      <c r="H33" s="142">
        <f>SUM(N$12:N33)</f>
        <v/>
      </c>
      <c r="I33" s="141">
        <f>IFERROR(L33/K33,"-")</f>
        <v/>
      </c>
      <c r="J33" s="141">
        <f>IFERROR(N33/(M33*100),"-")</f>
        <v/>
      </c>
      <c r="K33" s="142">
        <f>COUNTIF(P33:T33,"的中")+COUNTIF(P33:T33,"ハズレ")</f>
        <v/>
      </c>
      <c r="L33" s="142">
        <f>COUNTIF(P33:T33,"的中")</f>
        <v/>
      </c>
      <c r="M33" s="142">
        <f>SUM(P35:T35)</f>
        <v/>
      </c>
      <c r="N33" s="142">
        <f>SUMIFS(P34:T34,P33:T33,"的中")</f>
        <v/>
      </c>
      <c r="O33" s="90" t="inlineStr">
        <is>
          <t>結果</t>
        </is>
      </c>
      <c r="P33" s="89" t="inlineStr">
        <is>
          <t>未実施</t>
        </is>
      </c>
      <c r="Q33" s="89" t="inlineStr">
        <is>
          <t>未実施</t>
        </is>
      </c>
      <c r="R33" s="89" t="inlineStr">
        <is>
          <t>未実施</t>
        </is>
      </c>
      <c r="S33" s="89" t="inlineStr">
        <is>
          <t>未実施</t>
        </is>
      </c>
      <c r="T33" s="91" t="inlineStr">
        <is>
          <t>未実施</t>
        </is>
      </c>
    </row>
    <row r="34" ht="22" customHeight="1">
      <c r="B34" s="143" t="n"/>
      <c r="C34" s="144" t="n"/>
      <c r="D34" s="144" t="n"/>
      <c r="E34" s="144" t="n"/>
      <c r="F34" s="144" t="n"/>
      <c r="G34" s="144" t="n"/>
      <c r="H34" s="144" t="n"/>
      <c r="I34" s="144" t="n"/>
      <c r="J34" s="144" t="n"/>
      <c r="K34" s="144" t="n"/>
      <c r="L34" s="144" t="n"/>
      <c r="M34" s="144" t="n"/>
      <c r="N34" s="144" t="n"/>
      <c r="O34" s="88" t="inlineStr">
        <is>
          <t>払戻金</t>
        </is>
      </c>
      <c r="P34" s="16" t="n"/>
      <c r="Q34" s="16" t="n"/>
      <c r="R34" s="16" t="n"/>
      <c r="S34" s="16" t="n"/>
      <c r="T34" s="92" t="n"/>
    </row>
    <row r="35" ht="22" customHeight="1">
      <c r="B35" s="145" t="n"/>
      <c r="C35" s="146" t="n"/>
      <c r="D35" s="146" t="n"/>
      <c r="E35" s="146" t="n"/>
      <c r="F35" s="146" t="n"/>
      <c r="G35" s="146" t="n"/>
      <c r="H35" s="146" t="n"/>
      <c r="I35" s="146" t="n"/>
      <c r="J35" s="146" t="n"/>
      <c r="K35" s="146" t="n"/>
      <c r="L35" s="146" t="n"/>
      <c r="M35" s="146" t="n"/>
      <c r="N35" s="146" t="n"/>
      <c r="O35" s="94" t="inlineStr">
        <is>
          <t>購入点数</t>
        </is>
      </c>
      <c r="P35" s="93" t="n"/>
      <c r="Q35" s="93" t="n"/>
      <c r="R35" s="93" t="n"/>
      <c r="S35" s="93" t="n"/>
      <c r="T35" s="95" t="n"/>
    </row>
    <row r="36" ht="22" customHeight="1">
      <c r="B36" s="140" t="n">
        <v>46608</v>
      </c>
      <c r="C36" s="141">
        <f>IFERROR(F36/E36,"-")</f>
        <v/>
      </c>
      <c r="D36" s="141">
        <f>IFERROR(H36/(G36*100),"-")</f>
        <v/>
      </c>
      <c r="E36" s="142">
        <f>SUM(K$12:K36)</f>
        <v/>
      </c>
      <c r="F36" s="142">
        <f>SUM(L$12:L36)</f>
        <v/>
      </c>
      <c r="G36" s="142">
        <f>SUM(M$12:M36)</f>
        <v/>
      </c>
      <c r="H36" s="142">
        <f>SUM(N$12:N36)</f>
        <v/>
      </c>
      <c r="I36" s="141">
        <f>IFERROR(L36/K36,"-")</f>
        <v/>
      </c>
      <c r="J36" s="141">
        <f>IFERROR(N36/(M36*100),"-")</f>
        <v/>
      </c>
      <c r="K36" s="142">
        <f>COUNTIF(P36:T36,"的中")+COUNTIF(P36:T36,"ハズレ")</f>
        <v/>
      </c>
      <c r="L36" s="142">
        <f>COUNTIF(P36:T36,"的中")</f>
        <v/>
      </c>
      <c r="M36" s="142">
        <f>SUM(P38:T38)</f>
        <v/>
      </c>
      <c r="N36" s="142">
        <f>SUMIFS(P37:T37,P36:T36,"的中")</f>
        <v/>
      </c>
      <c r="O36" s="90" t="inlineStr">
        <is>
          <t>結果</t>
        </is>
      </c>
      <c r="P36" s="89" t="inlineStr">
        <is>
          <t>未実施</t>
        </is>
      </c>
      <c r="Q36" s="89" t="inlineStr">
        <is>
          <t>未実施</t>
        </is>
      </c>
      <c r="R36" s="89" t="inlineStr">
        <is>
          <t>未実施</t>
        </is>
      </c>
      <c r="S36" s="89" t="inlineStr">
        <is>
          <t>未実施</t>
        </is>
      </c>
      <c r="T36" s="91" t="inlineStr">
        <is>
          <t>未実施</t>
        </is>
      </c>
    </row>
    <row r="37" ht="22" customHeight="1">
      <c r="B37" s="143" t="n"/>
      <c r="C37" s="144" t="n"/>
      <c r="D37" s="144" t="n"/>
      <c r="E37" s="144" t="n"/>
      <c r="F37" s="144" t="n"/>
      <c r="G37" s="144" t="n"/>
      <c r="H37" s="144" t="n"/>
      <c r="I37" s="144" t="n"/>
      <c r="J37" s="144" t="n"/>
      <c r="K37" s="144" t="n"/>
      <c r="L37" s="144" t="n"/>
      <c r="M37" s="144" t="n"/>
      <c r="N37" s="144" t="n"/>
      <c r="O37" s="88" t="inlineStr">
        <is>
          <t>払戻金</t>
        </is>
      </c>
      <c r="P37" s="16" t="n"/>
      <c r="Q37" s="16" t="n"/>
      <c r="R37" s="16" t="n"/>
      <c r="S37" s="16" t="n"/>
      <c r="T37" s="92" t="n"/>
    </row>
    <row r="38" ht="22" customHeight="1">
      <c r="B38" s="145" t="n"/>
      <c r="C38" s="146" t="n"/>
      <c r="D38" s="146" t="n"/>
      <c r="E38" s="146" t="n"/>
      <c r="F38" s="146" t="n"/>
      <c r="G38" s="146" t="n"/>
      <c r="H38" s="146" t="n"/>
      <c r="I38" s="146" t="n"/>
      <c r="J38" s="146" t="n"/>
      <c r="K38" s="146" t="n"/>
      <c r="L38" s="146" t="n"/>
      <c r="M38" s="146" t="n"/>
      <c r="N38" s="146" t="n"/>
      <c r="O38" s="94" t="inlineStr">
        <is>
          <t>購入点数</t>
        </is>
      </c>
      <c r="P38" s="93" t="n"/>
      <c r="Q38" s="93" t="n"/>
      <c r="R38" s="93" t="n"/>
      <c r="S38" s="93" t="n"/>
      <c r="T38" s="95" t="n"/>
    </row>
    <row r="39" ht="22" customHeight="1">
      <c r="B39" s="140" t="n">
        <v>46609</v>
      </c>
      <c r="C39" s="141">
        <f>IFERROR(F39/E39,"-")</f>
        <v/>
      </c>
      <c r="D39" s="141">
        <f>IFERROR(H39/(G39*100),"-")</f>
        <v/>
      </c>
      <c r="E39" s="142">
        <f>SUM(K$12:K39)</f>
        <v/>
      </c>
      <c r="F39" s="142">
        <f>SUM(L$12:L39)</f>
        <v/>
      </c>
      <c r="G39" s="142">
        <f>SUM(M$12:M39)</f>
        <v/>
      </c>
      <c r="H39" s="142">
        <f>SUM(N$12:N39)</f>
        <v/>
      </c>
      <c r="I39" s="141">
        <f>IFERROR(L39/K39,"-")</f>
        <v/>
      </c>
      <c r="J39" s="141">
        <f>IFERROR(N39/(M39*100),"-")</f>
        <v/>
      </c>
      <c r="K39" s="142">
        <f>COUNTIF(P39:T39,"的中")+COUNTIF(P39:T39,"ハズレ")</f>
        <v/>
      </c>
      <c r="L39" s="142">
        <f>COUNTIF(P39:T39,"的中")</f>
        <v/>
      </c>
      <c r="M39" s="142">
        <f>SUM(P41:T41)</f>
        <v/>
      </c>
      <c r="N39" s="142">
        <f>SUMIFS(P40:T40,P39:T39,"的中")</f>
        <v/>
      </c>
      <c r="O39" s="90" t="inlineStr">
        <is>
          <t>結果</t>
        </is>
      </c>
      <c r="P39" s="89" t="inlineStr">
        <is>
          <t>未実施</t>
        </is>
      </c>
      <c r="Q39" s="89" t="inlineStr">
        <is>
          <t>未実施</t>
        </is>
      </c>
      <c r="R39" s="89" t="inlineStr">
        <is>
          <t>未実施</t>
        </is>
      </c>
      <c r="S39" s="89" t="inlineStr">
        <is>
          <t>未実施</t>
        </is>
      </c>
      <c r="T39" s="91" t="inlineStr">
        <is>
          <t>未実施</t>
        </is>
      </c>
    </row>
    <row r="40" ht="22" customHeight="1">
      <c r="B40" s="143" t="n"/>
      <c r="C40" s="144" t="n"/>
      <c r="D40" s="144" t="n"/>
      <c r="E40" s="144" t="n"/>
      <c r="F40" s="144" t="n"/>
      <c r="G40" s="144" t="n"/>
      <c r="H40" s="144" t="n"/>
      <c r="I40" s="144" t="n"/>
      <c r="J40" s="144" t="n"/>
      <c r="K40" s="144" t="n"/>
      <c r="L40" s="144" t="n"/>
      <c r="M40" s="144" t="n"/>
      <c r="N40" s="144" t="n"/>
      <c r="O40" s="88" t="inlineStr">
        <is>
          <t>払戻金</t>
        </is>
      </c>
      <c r="P40" s="16" t="n"/>
      <c r="Q40" s="16" t="n"/>
      <c r="R40" s="16" t="n"/>
      <c r="S40" s="16" t="n"/>
      <c r="T40" s="92" t="n"/>
    </row>
    <row r="41" ht="22" customHeight="1">
      <c r="B41" s="145" t="n"/>
      <c r="C41" s="146" t="n"/>
      <c r="D41" s="146" t="n"/>
      <c r="E41" s="146" t="n"/>
      <c r="F41" s="146" t="n"/>
      <c r="G41" s="146" t="n"/>
      <c r="H41" s="146" t="n"/>
      <c r="I41" s="146" t="n"/>
      <c r="J41" s="146" t="n"/>
      <c r="K41" s="146" t="n"/>
      <c r="L41" s="146" t="n"/>
      <c r="M41" s="146" t="n"/>
      <c r="N41" s="146" t="n"/>
      <c r="O41" s="94" t="inlineStr">
        <is>
          <t>購入点数</t>
        </is>
      </c>
      <c r="P41" s="93" t="n"/>
      <c r="Q41" s="93" t="n"/>
      <c r="R41" s="93" t="n"/>
      <c r="S41" s="93" t="n"/>
      <c r="T41" s="95" t="n"/>
    </row>
    <row r="42" ht="22" customHeight="1">
      <c r="B42" s="140" t="n">
        <v>46610</v>
      </c>
      <c r="C42" s="141">
        <f>IFERROR(F42/E42,"-")</f>
        <v/>
      </c>
      <c r="D42" s="141">
        <f>IFERROR(H42/(G42*100),"-")</f>
        <v/>
      </c>
      <c r="E42" s="142">
        <f>SUM(K$12:K42)</f>
        <v/>
      </c>
      <c r="F42" s="142">
        <f>SUM(L$12:L42)</f>
        <v/>
      </c>
      <c r="G42" s="142">
        <f>SUM(M$12:M42)</f>
        <v/>
      </c>
      <c r="H42" s="142">
        <f>SUM(N$12:N42)</f>
        <v/>
      </c>
      <c r="I42" s="141">
        <f>IFERROR(L42/K42,"-")</f>
        <v/>
      </c>
      <c r="J42" s="141">
        <f>IFERROR(N42/(M42*100),"-")</f>
        <v/>
      </c>
      <c r="K42" s="142">
        <f>COUNTIF(P42:T42,"的中")+COUNTIF(P42:T42,"ハズレ")</f>
        <v/>
      </c>
      <c r="L42" s="142">
        <f>COUNTIF(P42:T42,"的中")</f>
        <v/>
      </c>
      <c r="M42" s="142">
        <f>SUM(P44:T44)</f>
        <v/>
      </c>
      <c r="N42" s="142">
        <f>SUMIFS(P43:T43,P42:T42,"的中")</f>
        <v/>
      </c>
      <c r="O42" s="90" t="inlineStr">
        <is>
          <t>結果</t>
        </is>
      </c>
      <c r="P42" s="89" t="inlineStr">
        <is>
          <t>未実施</t>
        </is>
      </c>
      <c r="Q42" s="89" t="inlineStr">
        <is>
          <t>未実施</t>
        </is>
      </c>
      <c r="R42" s="89" t="inlineStr">
        <is>
          <t>未実施</t>
        </is>
      </c>
      <c r="S42" s="89" t="inlineStr">
        <is>
          <t>未実施</t>
        </is>
      </c>
      <c r="T42" s="91" t="inlineStr">
        <is>
          <t>未実施</t>
        </is>
      </c>
    </row>
    <row r="43" ht="22" customHeight="1">
      <c r="B43" s="143" t="n"/>
      <c r="C43" s="144" t="n"/>
      <c r="D43" s="144" t="n"/>
      <c r="E43" s="144" t="n"/>
      <c r="F43" s="144" t="n"/>
      <c r="G43" s="144" t="n"/>
      <c r="H43" s="144" t="n"/>
      <c r="I43" s="144" t="n"/>
      <c r="J43" s="144" t="n"/>
      <c r="K43" s="144" t="n"/>
      <c r="L43" s="144" t="n"/>
      <c r="M43" s="144" t="n"/>
      <c r="N43" s="144" t="n"/>
      <c r="O43" s="88" t="inlineStr">
        <is>
          <t>払戻金</t>
        </is>
      </c>
      <c r="P43" s="16" t="n"/>
      <c r="Q43" s="16" t="n"/>
      <c r="R43" s="16" t="n"/>
      <c r="S43" s="16" t="n"/>
      <c r="T43" s="92" t="n"/>
    </row>
    <row r="44" ht="22" customHeight="1">
      <c r="B44" s="145" t="n"/>
      <c r="C44" s="146" t="n"/>
      <c r="D44" s="146" t="n"/>
      <c r="E44" s="146" t="n"/>
      <c r="F44" s="146" t="n"/>
      <c r="G44" s="146" t="n"/>
      <c r="H44" s="146" t="n"/>
      <c r="I44" s="146" t="n"/>
      <c r="J44" s="146" t="n"/>
      <c r="K44" s="146" t="n"/>
      <c r="L44" s="146" t="n"/>
      <c r="M44" s="146" t="n"/>
      <c r="N44" s="146" t="n"/>
      <c r="O44" s="94" t="inlineStr">
        <is>
          <t>購入点数</t>
        </is>
      </c>
      <c r="P44" s="93" t="n"/>
      <c r="Q44" s="93" t="n"/>
      <c r="R44" s="93" t="n"/>
      <c r="S44" s="93" t="n"/>
      <c r="T44" s="95" t="n"/>
    </row>
    <row r="45" ht="22" customHeight="1">
      <c r="B45" s="140" t="n">
        <v>46611</v>
      </c>
      <c r="C45" s="141">
        <f>IFERROR(F45/E45,"-")</f>
        <v/>
      </c>
      <c r="D45" s="141">
        <f>IFERROR(H45/(G45*100),"-")</f>
        <v/>
      </c>
      <c r="E45" s="142">
        <f>SUM(K$12:K45)</f>
        <v/>
      </c>
      <c r="F45" s="142">
        <f>SUM(L$12:L45)</f>
        <v/>
      </c>
      <c r="G45" s="142">
        <f>SUM(M$12:M45)</f>
        <v/>
      </c>
      <c r="H45" s="142">
        <f>SUM(N$12:N45)</f>
        <v/>
      </c>
      <c r="I45" s="141">
        <f>IFERROR(L45/K45,"-")</f>
        <v/>
      </c>
      <c r="J45" s="141">
        <f>IFERROR(N45/(M45*100),"-")</f>
        <v/>
      </c>
      <c r="K45" s="142">
        <f>COUNTIF(P45:T45,"的中")+COUNTIF(P45:T45,"ハズレ")</f>
        <v/>
      </c>
      <c r="L45" s="142">
        <f>COUNTIF(P45:T45,"的中")</f>
        <v/>
      </c>
      <c r="M45" s="142">
        <f>SUM(P47:T47)</f>
        <v/>
      </c>
      <c r="N45" s="142">
        <f>SUMIFS(P46:T46,P45:T45,"的中")</f>
        <v/>
      </c>
      <c r="O45" s="90" t="inlineStr">
        <is>
          <t>結果</t>
        </is>
      </c>
      <c r="P45" s="89" t="inlineStr">
        <is>
          <t>未実施</t>
        </is>
      </c>
      <c r="Q45" s="89" t="inlineStr">
        <is>
          <t>未実施</t>
        </is>
      </c>
      <c r="R45" s="89" t="inlineStr">
        <is>
          <t>未実施</t>
        </is>
      </c>
      <c r="S45" s="89" t="inlineStr">
        <is>
          <t>未実施</t>
        </is>
      </c>
      <c r="T45" s="91" t="inlineStr">
        <is>
          <t>未実施</t>
        </is>
      </c>
    </row>
    <row r="46" ht="22" customHeight="1">
      <c r="B46" s="143" t="n"/>
      <c r="C46" s="144" t="n"/>
      <c r="D46" s="144" t="n"/>
      <c r="E46" s="144" t="n"/>
      <c r="F46" s="144" t="n"/>
      <c r="G46" s="144" t="n"/>
      <c r="H46" s="144" t="n"/>
      <c r="I46" s="144" t="n"/>
      <c r="J46" s="144" t="n"/>
      <c r="K46" s="144" t="n"/>
      <c r="L46" s="144" t="n"/>
      <c r="M46" s="144" t="n"/>
      <c r="N46" s="144" t="n"/>
      <c r="O46" s="88" t="inlineStr">
        <is>
          <t>払戻金</t>
        </is>
      </c>
      <c r="P46" s="16" t="n"/>
      <c r="Q46" s="16" t="n"/>
      <c r="R46" s="16" t="n"/>
      <c r="S46" s="16" t="n"/>
      <c r="T46" s="92" t="n"/>
    </row>
    <row r="47" ht="22" customHeight="1">
      <c r="B47" s="145" t="n"/>
      <c r="C47" s="146" t="n"/>
      <c r="D47" s="146" t="n"/>
      <c r="E47" s="146" t="n"/>
      <c r="F47" s="146" t="n"/>
      <c r="G47" s="146" t="n"/>
      <c r="H47" s="146" t="n"/>
      <c r="I47" s="146" t="n"/>
      <c r="J47" s="146" t="n"/>
      <c r="K47" s="146" t="n"/>
      <c r="L47" s="146" t="n"/>
      <c r="M47" s="146" t="n"/>
      <c r="N47" s="146" t="n"/>
      <c r="O47" s="94" t="inlineStr">
        <is>
          <t>購入点数</t>
        </is>
      </c>
      <c r="P47" s="93" t="n"/>
      <c r="Q47" s="93" t="n"/>
      <c r="R47" s="93" t="n"/>
      <c r="S47" s="93" t="n"/>
      <c r="T47" s="95" t="n"/>
    </row>
    <row r="48" ht="22" customHeight="1">
      <c r="B48" s="140" t="n">
        <v>46612</v>
      </c>
      <c r="C48" s="141">
        <f>IFERROR(F48/E48,"-")</f>
        <v/>
      </c>
      <c r="D48" s="141">
        <f>IFERROR(H48/(G48*100),"-")</f>
        <v/>
      </c>
      <c r="E48" s="142">
        <f>SUM(K$12:K48)</f>
        <v/>
      </c>
      <c r="F48" s="142">
        <f>SUM(L$12:L48)</f>
        <v/>
      </c>
      <c r="G48" s="142">
        <f>SUM(M$12:M48)</f>
        <v/>
      </c>
      <c r="H48" s="142">
        <f>SUM(N$12:N48)</f>
        <v/>
      </c>
      <c r="I48" s="141">
        <f>IFERROR(L48/K48,"-")</f>
        <v/>
      </c>
      <c r="J48" s="141">
        <f>IFERROR(N48/(M48*100),"-")</f>
        <v/>
      </c>
      <c r="K48" s="142">
        <f>COUNTIF(P48:T48,"的中")+COUNTIF(P48:T48,"ハズレ")</f>
        <v/>
      </c>
      <c r="L48" s="142">
        <f>COUNTIF(P48:T48,"的中")</f>
        <v/>
      </c>
      <c r="M48" s="142">
        <f>SUM(P50:T50)</f>
        <v/>
      </c>
      <c r="N48" s="142">
        <f>SUMIFS(P49:T49,P48:T48,"的中")</f>
        <v/>
      </c>
      <c r="O48" s="90" t="inlineStr">
        <is>
          <t>結果</t>
        </is>
      </c>
      <c r="P48" s="89" t="inlineStr">
        <is>
          <t>未実施</t>
        </is>
      </c>
      <c r="Q48" s="89" t="inlineStr">
        <is>
          <t>未実施</t>
        </is>
      </c>
      <c r="R48" s="89" t="inlineStr">
        <is>
          <t>未実施</t>
        </is>
      </c>
      <c r="S48" s="89" t="inlineStr">
        <is>
          <t>未実施</t>
        </is>
      </c>
      <c r="T48" s="91" t="inlineStr">
        <is>
          <t>未実施</t>
        </is>
      </c>
    </row>
    <row r="49" ht="22" customHeight="1">
      <c r="B49" s="143" t="n"/>
      <c r="C49" s="144" t="n"/>
      <c r="D49" s="144" t="n"/>
      <c r="E49" s="144" t="n"/>
      <c r="F49" s="144" t="n"/>
      <c r="G49" s="144" t="n"/>
      <c r="H49" s="144" t="n"/>
      <c r="I49" s="144" t="n"/>
      <c r="J49" s="144" t="n"/>
      <c r="K49" s="144" t="n"/>
      <c r="L49" s="144" t="n"/>
      <c r="M49" s="144" t="n"/>
      <c r="N49" s="144" t="n"/>
      <c r="O49" s="88" t="inlineStr">
        <is>
          <t>払戻金</t>
        </is>
      </c>
      <c r="P49" s="16" t="n"/>
      <c r="Q49" s="16" t="n"/>
      <c r="R49" s="16" t="n"/>
      <c r="S49" s="16" t="n"/>
      <c r="T49" s="92" t="n"/>
    </row>
    <row r="50" ht="22" customHeight="1">
      <c r="B50" s="145" t="n"/>
      <c r="C50" s="146" t="n"/>
      <c r="D50" s="146" t="n"/>
      <c r="E50" s="146" t="n"/>
      <c r="F50" s="146" t="n"/>
      <c r="G50" s="146" t="n"/>
      <c r="H50" s="146" t="n"/>
      <c r="I50" s="146" t="n"/>
      <c r="J50" s="146" t="n"/>
      <c r="K50" s="146" t="n"/>
      <c r="L50" s="146" t="n"/>
      <c r="M50" s="146" t="n"/>
      <c r="N50" s="146" t="n"/>
      <c r="O50" s="94" t="inlineStr">
        <is>
          <t>購入点数</t>
        </is>
      </c>
      <c r="P50" s="93" t="n"/>
      <c r="Q50" s="93" t="n"/>
      <c r="R50" s="93" t="n"/>
      <c r="S50" s="93" t="n"/>
      <c r="T50" s="95" t="n"/>
    </row>
    <row r="51" ht="22" customHeight="1">
      <c r="B51" s="140" t="n">
        <v>46613</v>
      </c>
      <c r="C51" s="141">
        <f>IFERROR(F51/E51,"-")</f>
        <v/>
      </c>
      <c r="D51" s="141">
        <f>IFERROR(H51/(G51*100),"-")</f>
        <v/>
      </c>
      <c r="E51" s="142">
        <f>SUM(K$12:K51)</f>
        <v/>
      </c>
      <c r="F51" s="142">
        <f>SUM(L$12:L51)</f>
        <v/>
      </c>
      <c r="G51" s="142">
        <f>SUM(M$12:M51)</f>
        <v/>
      </c>
      <c r="H51" s="142">
        <f>SUM(N$12:N51)</f>
        <v/>
      </c>
      <c r="I51" s="141">
        <f>IFERROR(L51/K51,"-")</f>
        <v/>
      </c>
      <c r="J51" s="141">
        <f>IFERROR(N51/(M51*100),"-")</f>
        <v/>
      </c>
      <c r="K51" s="142">
        <f>COUNTIF(P51:T51,"的中")+COUNTIF(P51:T51,"ハズレ")</f>
        <v/>
      </c>
      <c r="L51" s="142">
        <f>COUNTIF(P51:T51,"的中")</f>
        <v/>
      </c>
      <c r="M51" s="142">
        <f>SUM(P53:T53)</f>
        <v/>
      </c>
      <c r="N51" s="142">
        <f>SUMIFS(P52:T52,P51:T51,"的中")</f>
        <v/>
      </c>
      <c r="O51" s="90" t="inlineStr">
        <is>
          <t>結果</t>
        </is>
      </c>
      <c r="P51" s="89" t="inlineStr">
        <is>
          <t>未実施</t>
        </is>
      </c>
      <c r="Q51" s="89" t="inlineStr">
        <is>
          <t>未実施</t>
        </is>
      </c>
      <c r="R51" s="89" t="inlineStr">
        <is>
          <t>未実施</t>
        </is>
      </c>
      <c r="S51" s="89" t="inlineStr">
        <is>
          <t>未実施</t>
        </is>
      </c>
      <c r="T51" s="91" t="inlineStr">
        <is>
          <t>未実施</t>
        </is>
      </c>
    </row>
    <row r="52" ht="22" customHeight="1">
      <c r="B52" s="143" t="n"/>
      <c r="C52" s="144" t="n"/>
      <c r="D52" s="144" t="n"/>
      <c r="E52" s="144" t="n"/>
      <c r="F52" s="144" t="n"/>
      <c r="G52" s="144" t="n"/>
      <c r="H52" s="144" t="n"/>
      <c r="I52" s="144" t="n"/>
      <c r="J52" s="144" t="n"/>
      <c r="K52" s="144" t="n"/>
      <c r="L52" s="144" t="n"/>
      <c r="M52" s="144" t="n"/>
      <c r="N52" s="144" t="n"/>
      <c r="O52" s="88" t="inlineStr">
        <is>
          <t>払戻金</t>
        </is>
      </c>
      <c r="P52" s="16" t="n"/>
      <c r="Q52" s="16" t="n"/>
      <c r="R52" s="16" t="n"/>
      <c r="S52" s="16" t="n"/>
      <c r="T52" s="92" t="n"/>
    </row>
    <row r="53" ht="22" customHeight="1">
      <c r="B53" s="145" t="n"/>
      <c r="C53" s="146" t="n"/>
      <c r="D53" s="146" t="n"/>
      <c r="E53" s="146" t="n"/>
      <c r="F53" s="146" t="n"/>
      <c r="G53" s="146" t="n"/>
      <c r="H53" s="146" t="n"/>
      <c r="I53" s="146" t="n"/>
      <c r="J53" s="146" t="n"/>
      <c r="K53" s="146" t="n"/>
      <c r="L53" s="146" t="n"/>
      <c r="M53" s="146" t="n"/>
      <c r="N53" s="146" t="n"/>
      <c r="O53" s="94" t="inlineStr">
        <is>
          <t>購入点数</t>
        </is>
      </c>
      <c r="P53" s="93" t="n"/>
      <c r="Q53" s="93" t="n"/>
      <c r="R53" s="93" t="n"/>
      <c r="S53" s="93" t="n"/>
      <c r="T53" s="95" t="n"/>
    </row>
    <row r="54" ht="22" customHeight="1">
      <c r="B54" s="140" t="n">
        <v>46614</v>
      </c>
      <c r="C54" s="141">
        <f>IFERROR(F54/E54,"-")</f>
        <v/>
      </c>
      <c r="D54" s="141">
        <f>IFERROR(H54/(G54*100),"-")</f>
        <v/>
      </c>
      <c r="E54" s="142">
        <f>SUM(K$12:K54)</f>
        <v/>
      </c>
      <c r="F54" s="142">
        <f>SUM(L$12:L54)</f>
        <v/>
      </c>
      <c r="G54" s="142">
        <f>SUM(M$12:M54)</f>
        <v/>
      </c>
      <c r="H54" s="142">
        <f>SUM(N$12:N54)</f>
        <v/>
      </c>
      <c r="I54" s="141">
        <f>IFERROR(L54/K54,"-")</f>
        <v/>
      </c>
      <c r="J54" s="141">
        <f>IFERROR(N54/(M54*100),"-")</f>
        <v/>
      </c>
      <c r="K54" s="142">
        <f>COUNTIF(P54:T54,"的中")+COUNTIF(P54:T54,"ハズレ")</f>
        <v/>
      </c>
      <c r="L54" s="142">
        <f>COUNTIF(P54:T54,"的中")</f>
        <v/>
      </c>
      <c r="M54" s="142">
        <f>SUM(P56:T56)</f>
        <v/>
      </c>
      <c r="N54" s="142">
        <f>SUMIFS(P55:T55,P54:T54,"的中")</f>
        <v/>
      </c>
      <c r="O54" s="90" t="inlineStr">
        <is>
          <t>結果</t>
        </is>
      </c>
      <c r="P54" s="89" t="inlineStr">
        <is>
          <t>未実施</t>
        </is>
      </c>
      <c r="Q54" s="89" t="inlineStr">
        <is>
          <t>未実施</t>
        </is>
      </c>
      <c r="R54" s="89" t="inlineStr">
        <is>
          <t>未実施</t>
        </is>
      </c>
      <c r="S54" s="89" t="inlineStr">
        <is>
          <t>未実施</t>
        </is>
      </c>
      <c r="T54" s="91" t="inlineStr">
        <is>
          <t>未実施</t>
        </is>
      </c>
    </row>
    <row r="55" ht="22" customHeight="1">
      <c r="B55" s="143" t="n"/>
      <c r="C55" s="144" t="n"/>
      <c r="D55" s="144" t="n"/>
      <c r="E55" s="144" t="n"/>
      <c r="F55" s="144" t="n"/>
      <c r="G55" s="144" t="n"/>
      <c r="H55" s="144" t="n"/>
      <c r="I55" s="144" t="n"/>
      <c r="J55" s="144" t="n"/>
      <c r="K55" s="144" t="n"/>
      <c r="L55" s="144" t="n"/>
      <c r="M55" s="144" t="n"/>
      <c r="N55" s="144" t="n"/>
      <c r="O55" s="88" t="inlineStr">
        <is>
          <t>払戻金</t>
        </is>
      </c>
      <c r="P55" s="16" t="n"/>
      <c r="Q55" s="16" t="n"/>
      <c r="R55" s="16" t="n"/>
      <c r="S55" s="16" t="n"/>
      <c r="T55" s="92" t="n"/>
    </row>
    <row r="56" ht="22" customHeight="1">
      <c r="B56" s="145" t="n"/>
      <c r="C56" s="146" t="n"/>
      <c r="D56" s="146" t="n"/>
      <c r="E56" s="146" t="n"/>
      <c r="F56" s="146" t="n"/>
      <c r="G56" s="146" t="n"/>
      <c r="H56" s="146" t="n"/>
      <c r="I56" s="146" t="n"/>
      <c r="J56" s="146" t="n"/>
      <c r="K56" s="146" t="n"/>
      <c r="L56" s="146" t="n"/>
      <c r="M56" s="146" t="n"/>
      <c r="N56" s="146" t="n"/>
      <c r="O56" s="94" t="inlineStr">
        <is>
          <t>購入点数</t>
        </is>
      </c>
      <c r="P56" s="93" t="n"/>
      <c r="Q56" s="93" t="n"/>
      <c r="R56" s="93" t="n"/>
      <c r="S56" s="93" t="n"/>
      <c r="T56" s="95" t="n"/>
    </row>
    <row r="57" ht="22" customHeight="1">
      <c r="B57" s="140" t="n">
        <v>46615</v>
      </c>
      <c r="C57" s="141">
        <f>IFERROR(F57/E57,"-")</f>
        <v/>
      </c>
      <c r="D57" s="141">
        <f>IFERROR(H57/(G57*100),"-")</f>
        <v/>
      </c>
      <c r="E57" s="142">
        <f>SUM(K$12:K57)</f>
        <v/>
      </c>
      <c r="F57" s="142">
        <f>SUM(L$12:L57)</f>
        <v/>
      </c>
      <c r="G57" s="142">
        <f>SUM(M$12:M57)</f>
        <v/>
      </c>
      <c r="H57" s="142">
        <f>SUM(N$12:N57)</f>
        <v/>
      </c>
      <c r="I57" s="141">
        <f>IFERROR(L57/K57,"-")</f>
        <v/>
      </c>
      <c r="J57" s="141">
        <f>IFERROR(N57/(M57*100),"-")</f>
        <v/>
      </c>
      <c r="K57" s="142">
        <f>COUNTIF(P57:T57,"的中")+COUNTIF(P57:T57,"ハズレ")</f>
        <v/>
      </c>
      <c r="L57" s="142">
        <f>COUNTIF(P57:T57,"的中")</f>
        <v/>
      </c>
      <c r="M57" s="142">
        <f>SUM(P59:T59)</f>
        <v/>
      </c>
      <c r="N57" s="142">
        <f>SUMIFS(P58:T58,P57:T57,"的中")</f>
        <v/>
      </c>
      <c r="O57" s="90" t="inlineStr">
        <is>
          <t>結果</t>
        </is>
      </c>
      <c r="P57" s="89" t="inlineStr">
        <is>
          <t>未実施</t>
        </is>
      </c>
      <c r="Q57" s="89" t="inlineStr">
        <is>
          <t>未実施</t>
        </is>
      </c>
      <c r="R57" s="89" t="inlineStr">
        <is>
          <t>未実施</t>
        </is>
      </c>
      <c r="S57" s="89" t="inlineStr">
        <is>
          <t>未実施</t>
        </is>
      </c>
      <c r="T57" s="91" t="inlineStr">
        <is>
          <t>未実施</t>
        </is>
      </c>
    </row>
    <row r="58" ht="22" customHeight="1">
      <c r="B58" s="143" t="n"/>
      <c r="C58" s="144" t="n"/>
      <c r="D58" s="144" t="n"/>
      <c r="E58" s="144" t="n"/>
      <c r="F58" s="144" t="n"/>
      <c r="G58" s="144" t="n"/>
      <c r="H58" s="144" t="n"/>
      <c r="I58" s="144" t="n"/>
      <c r="J58" s="144" t="n"/>
      <c r="K58" s="144" t="n"/>
      <c r="L58" s="144" t="n"/>
      <c r="M58" s="144" t="n"/>
      <c r="N58" s="144" t="n"/>
      <c r="O58" s="88" t="inlineStr">
        <is>
          <t>払戻金</t>
        </is>
      </c>
      <c r="P58" s="16" t="n"/>
      <c r="Q58" s="16" t="n"/>
      <c r="R58" s="16" t="n"/>
      <c r="S58" s="16" t="n"/>
      <c r="T58" s="92" t="n"/>
    </row>
    <row r="59" ht="22" customHeight="1">
      <c r="B59" s="145" t="n"/>
      <c r="C59" s="146" t="n"/>
      <c r="D59" s="146" t="n"/>
      <c r="E59" s="146" t="n"/>
      <c r="F59" s="146" t="n"/>
      <c r="G59" s="146" t="n"/>
      <c r="H59" s="146" t="n"/>
      <c r="I59" s="146" t="n"/>
      <c r="J59" s="146" t="n"/>
      <c r="K59" s="146" t="n"/>
      <c r="L59" s="146" t="n"/>
      <c r="M59" s="146" t="n"/>
      <c r="N59" s="146" t="n"/>
      <c r="O59" s="94" t="inlineStr">
        <is>
          <t>購入点数</t>
        </is>
      </c>
      <c r="P59" s="93" t="n"/>
      <c r="Q59" s="93" t="n"/>
      <c r="R59" s="93" t="n"/>
      <c r="S59" s="93" t="n"/>
      <c r="T59" s="95" t="n"/>
    </row>
    <row r="60" ht="22" customHeight="1">
      <c r="B60" s="140" t="n">
        <v>46616</v>
      </c>
      <c r="C60" s="141">
        <f>IFERROR(F60/E60,"-")</f>
        <v/>
      </c>
      <c r="D60" s="141">
        <f>IFERROR(H60/(G60*100),"-")</f>
        <v/>
      </c>
      <c r="E60" s="142">
        <f>SUM(K$12:K60)</f>
        <v/>
      </c>
      <c r="F60" s="142">
        <f>SUM(L$12:L60)</f>
        <v/>
      </c>
      <c r="G60" s="142">
        <f>SUM(M$12:M60)</f>
        <v/>
      </c>
      <c r="H60" s="142">
        <f>SUM(N$12:N60)</f>
        <v/>
      </c>
      <c r="I60" s="141">
        <f>IFERROR(L60/K60,"-")</f>
        <v/>
      </c>
      <c r="J60" s="141">
        <f>IFERROR(N60/(M60*100),"-")</f>
        <v/>
      </c>
      <c r="K60" s="142">
        <f>COUNTIF(P60:T60,"的中")+COUNTIF(P60:T60,"ハズレ")</f>
        <v/>
      </c>
      <c r="L60" s="142">
        <f>COUNTIF(P60:T60,"的中")</f>
        <v/>
      </c>
      <c r="M60" s="142">
        <f>SUM(P62:T62)</f>
        <v/>
      </c>
      <c r="N60" s="142">
        <f>SUMIFS(P61:T61,P60:T60,"的中")</f>
        <v/>
      </c>
      <c r="O60" s="90" t="inlineStr">
        <is>
          <t>結果</t>
        </is>
      </c>
      <c r="P60" s="89" t="inlineStr">
        <is>
          <t>未実施</t>
        </is>
      </c>
      <c r="Q60" s="89" t="inlineStr">
        <is>
          <t>未実施</t>
        </is>
      </c>
      <c r="R60" s="89" t="inlineStr">
        <is>
          <t>未実施</t>
        </is>
      </c>
      <c r="S60" s="89" t="inlineStr">
        <is>
          <t>未実施</t>
        </is>
      </c>
      <c r="T60" s="91" t="inlineStr">
        <is>
          <t>未実施</t>
        </is>
      </c>
    </row>
    <row r="61" ht="22" customHeight="1">
      <c r="B61" s="143" t="n"/>
      <c r="C61" s="144" t="n"/>
      <c r="D61" s="144" t="n"/>
      <c r="E61" s="144" t="n"/>
      <c r="F61" s="144" t="n"/>
      <c r="G61" s="144" t="n"/>
      <c r="H61" s="144" t="n"/>
      <c r="I61" s="144" t="n"/>
      <c r="J61" s="144" t="n"/>
      <c r="K61" s="144" t="n"/>
      <c r="L61" s="144" t="n"/>
      <c r="M61" s="144" t="n"/>
      <c r="N61" s="144" t="n"/>
      <c r="O61" s="88" t="inlineStr">
        <is>
          <t>払戻金</t>
        </is>
      </c>
      <c r="P61" s="16" t="n"/>
      <c r="Q61" s="16" t="n"/>
      <c r="R61" s="16" t="n"/>
      <c r="S61" s="16" t="n"/>
      <c r="T61" s="92" t="n"/>
    </row>
    <row r="62" ht="22" customHeight="1">
      <c r="B62" s="145" t="n"/>
      <c r="C62" s="146" t="n"/>
      <c r="D62" s="146" t="n"/>
      <c r="E62" s="146" t="n"/>
      <c r="F62" s="146" t="n"/>
      <c r="G62" s="146" t="n"/>
      <c r="H62" s="146" t="n"/>
      <c r="I62" s="146" t="n"/>
      <c r="J62" s="146" t="n"/>
      <c r="K62" s="146" t="n"/>
      <c r="L62" s="146" t="n"/>
      <c r="M62" s="146" t="n"/>
      <c r="N62" s="146" t="n"/>
      <c r="O62" s="94" t="inlineStr">
        <is>
          <t>購入点数</t>
        </is>
      </c>
      <c r="P62" s="93" t="n"/>
      <c r="Q62" s="93" t="n"/>
      <c r="R62" s="93" t="n"/>
      <c r="S62" s="93" t="n"/>
      <c r="T62" s="95" t="n"/>
    </row>
    <row r="63" ht="22" customHeight="1">
      <c r="B63" s="140" t="n">
        <v>46617</v>
      </c>
      <c r="C63" s="141">
        <f>IFERROR(F63/E63,"-")</f>
        <v/>
      </c>
      <c r="D63" s="141">
        <f>IFERROR(H63/(G63*100),"-")</f>
        <v/>
      </c>
      <c r="E63" s="142">
        <f>SUM(K$12:K63)</f>
        <v/>
      </c>
      <c r="F63" s="142">
        <f>SUM(L$12:L63)</f>
        <v/>
      </c>
      <c r="G63" s="142">
        <f>SUM(M$12:M63)</f>
        <v/>
      </c>
      <c r="H63" s="142">
        <f>SUM(N$12:N63)</f>
        <v/>
      </c>
      <c r="I63" s="141">
        <f>IFERROR(L63/K63,"-")</f>
        <v/>
      </c>
      <c r="J63" s="141">
        <f>IFERROR(N63/(M63*100),"-")</f>
        <v/>
      </c>
      <c r="K63" s="142">
        <f>COUNTIF(P63:T63,"的中")+COUNTIF(P63:T63,"ハズレ")</f>
        <v/>
      </c>
      <c r="L63" s="142">
        <f>COUNTIF(P63:T63,"的中")</f>
        <v/>
      </c>
      <c r="M63" s="142">
        <f>SUM(P65:T65)</f>
        <v/>
      </c>
      <c r="N63" s="142">
        <f>SUMIFS(P64:T64,P63:T63,"的中")</f>
        <v/>
      </c>
      <c r="O63" s="90" t="inlineStr">
        <is>
          <t>結果</t>
        </is>
      </c>
      <c r="P63" s="89" t="inlineStr">
        <is>
          <t>未実施</t>
        </is>
      </c>
      <c r="Q63" s="89" t="inlineStr">
        <is>
          <t>未実施</t>
        </is>
      </c>
      <c r="R63" s="89" t="inlineStr">
        <is>
          <t>未実施</t>
        </is>
      </c>
      <c r="S63" s="89" t="inlineStr">
        <is>
          <t>未実施</t>
        </is>
      </c>
      <c r="T63" s="91" t="inlineStr">
        <is>
          <t>未実施</t>
        </is>
      </c>
    </row>
    <row r="64" ht="22" customHeight="1">
      <c r="B64" s="143" t="n"/>
      <c r="C64" s="144" t="n"/>
      <c r="D64" s="144" t="n"/>
      <c r="E64" s="144" t="n"/>
      <c r="F64" s="144" t="n"/>
      <c r="G64" s="144" t="n"/>
      <c r="H64" s="144" t="n"/>
      <c r="I64" s="144" t="n"/>
      <c r="J64" s="144" t="n"/>
      <c r="K64" s="144" t="n"/>
      <c r="L64" s="144" t="n"/>
      <c r="M64" s="144" t="n"/>
      <c r="N64" s="144" t="n"/>
      <c r="O64" s="88" t="inlineStr">
        <is>
          <t>払戻金</t>
        </is>
      </c>
      <c r="P64" s="16" t="n"/>
      <c r="Q64" s="16" t="n"/>
      <c r="R64" s="16" t="n"/>
      <c r="S64" s="16" t="n"/>
      <c r="T64" s="92" t="n"/>
    </row>
    <row r="65" ht="22" customHeight="1">
      <c r="B65" s="145" t="n"/>
      <c r="C65" s="146" t="n"/>
      <c r="D65" s="146" t="n"/>
      <c r="E65" s="146" t="n"/>
      <c r="F65" s="146" t="n"/>
      <c r="G65" s="146" t="n"/>
      <c r="H65" s="146" t="n"/>
      <c r="I65" s="146" t="n"/>
      <c r="J65" s="146" t="n"/>
      <c r="K65" s="146" t="n"/>
      <c r="L65" s="146" t="n"/>
      <c r="M65" s="146" t="n"/>
      <c r="N65" s="146" t="n"/>
      <c r="O65" s="94" t="inlineStr">
        <is>
          <t>購入点数</t>
        </is>
      </c>
      <c r="P65" s="93" t="n"/>
      <c r="Q65" s="93" t="n"/>
      <c r="R65" s="93" t="n"/>
      <c r="S65" s="93" t="n"/>
      <c r="T65" s="95" t="n"/>
    </row>
    <row r="66" ht="22" customHeight="1">
      <c r="B66" s="140" t="n">
        <v>46618</v>
      </c>
      <c r="C66" s="141">
        <f>IFERROR(F66/E66,"-")</f>
        <v/>
      </c>
      <c r="D66" s="141">
        <f>IFERROR(H66/(G66*100),"-")</f>
        <v/>
      </c>
      <c r="E66" s="142">
        <f>SUM(K$12:K66)</f>
        <v/>
      </c>
      <c r="F66" s="142">
        <f>SUM(L$12:L66)</f>
        <v/>
      </c>
      <c r="G66" s="142">
        <f>SUM(M$12:M66)</f>
        <v/>
      </c>
      <c r="H66" s="142">
        <f>SUM(N$12:N66)</f>
        <v/>
      </c>
      <c r="I66" s="141">
        <f>IFERROR(L66/K66,"-")</f>
        <v/>
      </c>
      <c r="J66" s="141">
        <f>IFERROR(N66/(M66*100),"-")</f>
        <v/>
      </c>
      <c r="K66" s="142">
        <f>COUNTIF(P66:T66,"的中")+COUNTIF(P66:T66,"ハズレ")</f>
        <v/>
      </c>
      <c r="L66" s="142">
        <f>COUNTIF(P66:T66,"的中")</f>
        <v/>
      </c>
      <c r="M66" s="142">
        <f>SUM(P68:T68)</f>
        <v/>
      </c>
      <c r="N66" s="142">
        <f>SUMIFS(P67:T67,P66:T66,"的中")</f>
        <v/>
      </c>
      <c r="O66" s="90" t="inlineStr">
        <is>
          <t>結果</t>
        </is>
      </c>
      <c r="P66" s="89" t="inlineStr">
        <is>
          <t>未実施</t>
        </is>
      </c>
      <c r="Q66" s="89" t="inlineStr">
        <is>
          <t>未実施</t>
        </is>
      </c>
      <c r="R66" s="89" t="inlineStr">
        <is>
          <t>未実施</t>
        </is>
      </c>
      <c r="S66" s="89" t="inlineStr">
        <is>
          <t>未実施</t>
        </is>
      </c>
      <c r="T66" s="91" t="inlineStr">
        <is>
          <t>未実施</t>
        </is>
      </c>
    </row>
    <row r="67" ht="22" customHeight="1">
      <c r="B67" s="143" t="n"/>
      <c r="C67" s="144" t="n"/>
      <c r="D67" s="144" t="n"/>
      <c r="E67" s="144" t="n"/>
      <c r="F67" s="144" t="n"/>
      <c r="G67" s="144" t="n"/>
      <c r="H67" s="144" t="n"/>
      <c r="I67" s="144" t="n"/>
      <c r="J67" s="144" t="n"/>
      <c r="K67" s="144" t="n"/>
      <c r="L67" s="144" t="n"/>
      <c r="M67" s="144" t="n"/>
      <c r="N67" s="144" t="n"/>
      <c r="O67" s="88" t="inlineStr">
        <is>
          <t>払戻金</t>
        </is>
      </c>
      <c r="P67" s="16" t="n"/>
      <c r="Q67" s="16" t="n"/>
      <c r="R67" s="16" t="n"/>
      <c r="S67" s="16" t="n"/>
      <c r="T67" s="92" t="n"/>
    </row>
    <row r="68" ht="22" customHeight="1">
      <c r="B68" s="145" t="n"/>
      <c r="C68" s="146" t="n"/>
      <c r="D68" s="146" t="n"/>
      <c r="E68" s="146" t="n"/>
      <c r="F68" s="146" t="n"/>
      <c r="G68" s="146" t="n"/>
      <c r="H68" s="146" t="n"/>
      <c r="I68" s="146" t="n"/>
      <c r="J68" s="146" t="n"/>
      <c r="K68" s="146" t="n"/>
      <c r="L68" s="146" t="n"/>
      <c r="M68" s="146" t="n"/>
      <c r="N68" s="146" t="n"/>
      <c r="O68" s="94" t="inlineStr">
        <is>
          <t>購入点数</t>
        </is>
      </c>
      <c r="P68" s="93" t="n"/>
      <c r="Q68" s="93" t="n"/>
      <c r="R68" s="93" t="n"/>
      <c r="S68" s="93" t="n"/>
      <c r="T68" s="95" t="n"/>
    </row>
    <row r="69" ht="22" customHeight="1">
      <c r="B69" s="140" t="n">
        <v>46619</v>
      </c>
      <c r="C69" s="141">
        <f>IFERROR(F69/E69,"-")</f>
        <v/>
      </c>
      <c r="D69" s="141">
        <f>IFERROR(H69/(G69*100),"-")</f>
        <v/>
      </c>
      <c r="E69" s="142">
        <f>SUM(K$12:K69)</f>
        <v/>
      </c>
      <c r="F69" s="142">
        <f>SUM(L$12:L69)</f>
        <v/>
      </c>
      <c r="G69" s="142">
        <f>SUM(M$12:M69)</f>
        <v/>
      </c>
      <c r="H69" s="142">
        <f>SUM(N$12:N69)</f>
        <v/>
      </c>
      <c r="I69" s="141">
        <f>IFERROR(L69/K69,"-")</f>
        <v/>
      </c>
      <c r="J69" s="141">
        <f>IFERROR(N69/(M69*100),"-")</f>
        <v/>
      </c>
      <c r="K69" s="142">
        <f>COUNTIF(P69:T69,"的中")+COUNTIF(P69:T69,"ハズレ")</f>
        <v/>
      </c>
      <c r="L69" s="142">
        <f>COUNTIF(P69:T69,"的中")</f>
        <v/>
      </c>
      <c r="M69" s="142">
        <f>SUM(P71:T71)</f>
        <v/>
      </c>
      <c r="N69" s="142">
        <f>SUMIFS(P70:T70,P69:T69,"的中")</f>
        <v/>
      </c>
      <c r="O69" s="90" t="inlineStr">
        <is>
          <t>結果</t>
        </is>
      </c>
      <c r="P69" s="89" t="inlineStr">
        <is>
          <t>未実施</t>
        </is>
      </c>
      <c r="Q69" s="89" t="inlineStr">
        <is>
          <t>未実施</t>
        </is>
      </c>
      <c r="R69" s="89" t="inlineStr">
        <is>
          <t>未実施</t>
        </is>
      </c>
      <c r="S69" s="89" t="inlineStr">
        <is>
          <t>未実施</t>
        </is>
      </c>
      <c r="T69" s="91" t="inlineStr">
        <is>
          <t>未実施</t>
        </is>
      </c>
    </row>
    <row r="70" ht="22" customHeight="1">
      <c r="B70" s="143" t="n"/>
      <c r="C70" s="144" t="n"/>
      <c r="D70" s="144" t="n"/>
      <c r="E70" s="144" t="n"/>
      <c r="F70" s="144" t="n"/>
      <c r="G70" s="144" t="n"/>
      <c r="H70" s="144" t="n"/>
      <c r="I70" s="144" t="n"/>
      <c r="J70" s="144" t="n"/>
      <c r="K70" s="144" t="n"/>
      <c r="L70" s="144" t="n"/>
      <c r="M70" s="144" t="n"/>
      <c r="N70" s="144" t="n"/>
      <c r="O70" s="88" t="inlineStr">
        <is>
          <t>払戻金</t>
        </is>
      </c>
      <c r="P70" s="16" t="n"/>
      <c r="Q70" s="16" t="n"/>
      <c r="R70" s="16" t="n"/>
      <c r="S70" s="16" t="n"/>
      <c r="T70" s="92" t="n"/>
    </row>
    <row r="71" ht="22" customHeight="1">
      <c r="B71" s="145" t="n"/>
      <c r="C71" s="146" t="n"/>
      <c r="D71" s="146" t="n"/>
      <c r="E71" s="146" t="n"/>
      <c r="F71" s="146" t="n"/>
      <c r="G71" s="146" t="n"/>
      <c r="H71" s="146" t="n"/>
      <c r="I71" s="146" t="n"/>
      <c r="J71" s="146" t="n"/>
      <c r="K71" s="146" t="n"/>
      <c r="L71" s="146" t="n"/>
      <c r="M71" s="146" t="n"/>
      <c r="N71" s="146" t="n"/>
      <c r="O71" s="94" t="inlineStr">
        <is>
          <t>購入点数</t>
        </is>
      </c>
      <c r="P71" s="93" t="n"/>
      <c r="Q71" s="93" t="n"/>
      <c r="R71" s="93" t="n"/>
      <c r="S71" s="93" t="n"/>
      <c r="T71" s="95" t="n"/>
    </row>
    <row r="72" ht="22" customHeight="1">
      <c r="B72" s="140" t="n">
        <v>46620</v>
      </c>
      <c r="C72" s="141">
        <f>IFERROR(F72/E72,"-")</f>
        <v/>
      </c>
      <c r="D72" s="141">
        <f>IFERROR(H72/(G72*100),"-")</f>
        <v/>
      </c>
      <c r="E72" s="142">
        <f>SUM(K$12:K72)</f>
        <v/>
      </c>
      <c r="F72" s="142">
        <f>SUM(L$12:L72)</f>
        <v/>
      </c>
      <c r="G72" s="142">
        <f>SUM(M$12:M72)</f>
        <v/>
      </c>
      <c r="H72" s="142">
        <f>SUM(N$12:N72)</f>
        <v/>
      </c>
      <c r="I72" s="141">
        <f>IFERROR(L72/K72,"-")</f>
        <v/>
      </c>
      <c r="J72" s="141">
        <f>IFERROR(N72/(M72*100),"-")</f>
        <v/>
      </c>
      <c r="K72" s="142">
        <f>COUNTIF(P72:T72,"的中")+COUNTIF(P72:T72,"ハズレ")</f>
        <v/>
      </c>
      <c r="L72" s="142">
        <f>COUNTIF(P72:T72,"的中")</f>
        <v/>
      </c>
      <c r="M72" s="142">
        <f>SUM(P74:T74)</f>
        <v/>
      </c>
      <c r="N72" s="142">
        <f>SUMIFS(P73:T73,P72:T72,"的中")</f>
        <v/>
      </c>
      <c r="O72" s="90" t="inlineStr">
        <is>
          <t>結果</t>
        </is>
      </c>
      <c r="P72" s="89" t="inlineStr">
        <is>
          <t>未実施</t>
        </is>
      </c>
      <c r="Q72" s="89" t="inlineStr">
        <is>
          <t>未実施</t>
        </is>
      </c>
      <c r="R72" s="89" t="inlineStr">
        <is>
          <t>未実施</t>
        </is>
      </c>
      <c r="S72" s="89" t="inlineStr">
        <is>
          <t>未実施</t>
        </is>
      </c>
      <c r="T72" s="91" t="inlineStr">
        <is>
          <t>未実施</t>
        </is>
      </c>
    </row>
    <row r="73" ht="22" customHeight="1">
      <c r="B73" s="143" t="n"/>
      <c r="C73" s="144" t="n"/>
      <c r="D73" s="144" t="n"/>
      <c r="E73" s="144" t="n"/>
      <c r="F73" s="144" t="n"/>
      <c r="G73" s="144" t="n"/>
      <c r="H73" s="144" t="n"/>
      <c r="I73" s="144" t="n"/>
      <c r="J73" s="144" t="n"/>
      <c r="K73" s="144" t="n"/>
      <c r="L73" s="144" t="n"/>
      <c r="M73" s="144" t="n"/>
      <c r="N73" s="144" t="n"/>
      <c r="O73" s="88" t="inlineStr">
        <is>
          <t>払戻金</t>
        </is>
      </c>
      <c r="P73" s="16" t="n"/>
      <c r="Q73" s="16" t="n"/>
      <c r="R73" s="16" t="n"/>
      <c r="S73" s="16" t="n"/>
      <c r="T73" s="92" t="n"/>
    </row>
    <row r="74" ht="22" customHeight="1">
      <c r="B74" s="145" t="n"/>
      <c r="C74" s="146" t="n"/>
      <c r="D74" s="146" t="n"/>
      <c r="E74" s="146" t="n"/>
      <c r="F74" s="146" t="n"/>
      <c r="G74" s="146" t="n"/>
      <c r="H74" s="146" t="n"/>
      <c r="I74" s="146" t="n"/>
      <c r="J74" s="146" t="n"/>
      <c r="K74" s="146" t="n"/>
      <c r="L74" s="146" t="n"/>
      <c r="M74" s="146" t="n"/>
      <c r="N74" s="146" t="n"/>
      <c r="O74" s="94" t="inlineStr">
        <is>
          <t>購入点数</t>
        </is>
      </c>
      <c r="P74" s="93" t="n"/>
      <c r="Q74" s="93" t="n"/>
      <c r="R74" s="93" t="n"/>
      <c r="S74" s="93" t="n"/>
      <c r="T74" s="95" t="n"/>
    </row>
    <row r="75" ht="22" customHeight="1">
      <c r="B75" s="140" t="n">
        <v>46621</v>
      </c>
      <c r="C75" s="141">
        <f>IFERROR(F75/E75,"-")</f>
        <v/>
      </c>
      <c r="D75" s="141">
        <f>IFERROR(H75/(G75*100),"-")</f>
        <v/>
      </c>
      <c r="E75" s="142">
        <f>SUM(K$12:K75)</f>
        <v/>
      </c>
      <c r="F75" s="142">
        <f>SUM(L$12:L75)</f>
        <v/>
      </c>
      <c r="G75" s="142">
        <f>SUM(M$12:M75)</f>
        <v/>
      </c>
      <c r="H75" s="142">
        <f>SUM(N$12:N75)</f>
        <v/>
      </c>
      <c r="I75" s="141">
        <f>IFERROR(L75/K75,"-")</f>
        <v/>
      </c>
      <c r="J75" s="141">
        <f>IFERROR(N75/(M75*100),"-")</f>
        <v/>
      </c>
      <c r="K75" s="142">
        <f>COUNTIF(P75:T75,"的中")+COUNTIF(P75:T75,"ハズレ")</f>
        <v/>
      </c>
      <c r="L75" s="142">
        <f>COUNTIF(P75:T75,"的中")</f>
        <v/>
      </c>
      <c r="M75" s="142">
        <f>SUM(P77:T77)</f>
        <v/>
      </c>
      <c r="N75" s="142">
        <f>SUMIFS(P76:T76,P75:T75,"的中")</f>
        <v/>
      </c>
      <c r="O75" s="90" t="inlineStr">
        <is>
          <t>結果</t>
        </is>
      </c>
      <c r="P75" s="89" t="inlineStr">
        <is>
          <t>未実施</t>
        </is>
      </c>
      <c r="Q75" s="89" t="inlineStr">
        <is>
          <t>未実施</t>
        </is>
      </c>
      <c r="R75" s="89" t="inlineStr">
        <is>
          <t>未実施</t>
        </is>
      </c>
      <c r="S75" s="89" t="inlineStr">
        <is>
          <t>未実施</t>
        </is>
      </c>
      <c r="T75" s="91" t="inlineStr">
        <is>
          <t>未実施</t>
        </is>
      </c>
    </row>
    <row r="76" ht="22" customHeight="1">
      <c r="B76" s="143" t="n"/>
      <c r="C76" s="144" t="n"/>
      <c r="D76" s="144" t="n"/>
      <c r="E76" s="144" t="n"/>
      <c r="F76" s="144" t="n"/>
      <c r="G76" s="144" t="n"/>
      <c r="H76" s="144" t="n"/>
      <c r="I76" s="144" t="n"/>
      <c r="J76" s="144" t="n"/>
      <c r="K76" s="144" t="n"/>
      <c r="L76" s="144" t="n"/>
      <c r="M76" s="144" t="n"/>
      <c r="N76" s="144" t="n"/>
      <c r="O76" s="88" t="inlineStr">
        <is>
          <t>払戻金</t>
        </is>
      </c>
      <c r="P76" s="16" t="n"/>
      <c r="Q76" s="16" t="n"/>
      <c r="R76" s="16" t="n"/>
      <c r="S76" s="16" t="n"/>
      <c r="T76" s="92" t="n"/>
    </row>
    <row r="77" ht="22" customHeight="1">
      <c r="B77" s="145" t="n"/>
      <c r="C77" s="146" t="n"/>
      <c r="D77" s="146" t="n"/>
      <c r="E77" s="146" t="n"/>
      <c r="F77" s="146" t="n"/>
      <c r="G77" s="146" t="n"/>
      <c r="H77" s="146" t="n"/>
      <c r="I77" s="146" t="n"/>
      <c r="J77" s="146" t="n"/>
      <c r="K77" s="146" t="n"/>
      <c r="L77" s="146" t="n"/>
      <c r="M77" s="146" t="n"/>
      <c r="N77" s="146" t="n"/>
      <c r="O77" s="94" t="inlineStr">
        <is>
          <t>購入点数</t>
        </is>
      </c>
      <c r="P77" s="93" t="n"/>
      <c r="Q77" s="93" t="n"/>
      <c r="R77" s="93" t="n"/>
      <c r="S77" s="93" t="n"/>
      <c r="T77" s="95" t="n"/>
    </row>
    <row r="78" ht="22" customHeight="1">
      <c r="B78" s="140" t="n">
        <v>46622</v>
      </c>
      <c r="C78" s="141">
        <f>IFERROR(F78/E78,"-")</f>
        <v/>
      </c>
      <c r="D78" s="141">
        <f>IFERROR(H78/(G78*100),"-")</f>
        <v/>
      </c>
      <c r="E78" s="142">
        <f>SUM(K$12:K78)</f>
        <v/>
      </c>
      <c r="F78" s="142">
        <f>SUM(L$12:L78)</f>
        <v/>
      </c>
      <c r="G78" s="142">
        <f>SUM(M$12:M78)</f>
        <v/>
      </c>
      <c r="H78" s="142">
        <f>SUM(N$12:N78)</f>
        <v/>
      </c>
      <c r="I78" s="141">
        <f>IFERROR(L78/K78,"-")</f>
        <v/>
      </c>
      <c r="J78" s="141">
        <f>IFERROR(N78/(M78*100),"-")</f>
        <v/>
      </c>
      <c r="K78" s="142">
        <f>COUNTIF(P78:T78,"的中")+COUNTIF(P78:T78,"ハズレ")</f>
        <v/>
      </c>
      <c r="L78" s="142">
        <f>COUNTIF(P78:T78,"的中")</f>
        <v/>
      </c>
      <c r="M78" s="142">
        <f>SUM(P80:T80)</f>
        <v/>
      </c>
      <c r="N78" s="142">
        <f>SUMIFS(P79:T79,P78:T78,"的中")</f>
        <v/>
      </c>
      <c r="O78" s="90" t="inlineStr">
        <is>
          <t>結果</t>
        </is>
      </c>
      <c r="P78" s="89" t="inlineStr">
        <is>
          <t>未実施</t>
        </is>
      </c>
      <c r="Q78" s="89" t="inlineStr">
        <is>
          <t>未実施</t>
        </is>
      </c>
      <c r="R78" s="89" t="inlineStr">
        <is>
          <t>未実施</t>
        </is>
      </c>
      <c r="S78" s="89" t="inlineStr">
        <is>
          <t>未実施</t>
        </is>
      </c>
      <c r="T78" s="91" t="inlineStr">
        <is>
          <t>未実施</t>
        </is>
      </c>
    </row>
    <row r="79" ht="22" customHeight="1">
      <c r="B79" s="143" t="n"/>
      <c r="C79" s="144" t="n"/>
      <c r="D79" s="144" t="n"/>
      <c r="E79" s="144" t="n"/>
      <c r="F79" s="144" t="n"/>
      <c r="G79" s="144" t="n"/>
      <c r="H79" s="144" t="n"/>
      <c r="I79" s="144" t="n"/>
      <c r="J79" s="144" t="n"/>
      <c r="K79" s="144" t="n"/>
      <c r="L79" s="144" t="n"/>
      <c r="M79" s="144" t="n"/>
      <c r="N79" s="144" t="n"/>
      <c r="O79" s="88" t="inlineStr">
        <is>
          <t>払戻金</t>
        </is>
      </c>
      <c r="P79" s="16" t="n"/>
      <c r="Q79" s="16" t="n"/>
      <c r="R79" s="16" t="n"/>
      <c r="S79" s="16" t="n"/>
      <c r="T79" s="92" t="n"/>
    </row>
    <row r="80" ht="22" customHeight="1">
      <c r="B80" s="145" t="n"/>
      <c r="C80" s="146" t="n"/>
      <c r="D80" s="146" t="n"/>
      <c r="E80" s="146" t="n"/>
      <c r="F80" s="146" t="n"/>
      <c r="G80" s="146" t="n"/>
      <c r="H80" s="146" t="n"/>
      <c r="I80" s="146" t="n"/>
      <c r="J80" s="146" t="n"/>
      <c r="K80" s="146" t="n"/>
      <c r="L80" s="146" t="n"/>
      <c r="M80" s="146" t="n"/>
      <c r="N80" s="146" t="n"/>
      <c r="O80" s="94" t="inlineStr">
        <is>
          <t>購入点数</t>
        </is>
      </c>
      <c r="P80" s="93" t="n"/>
      <c r="Q80" s="93" t="n"/>
      <c r="R80" s="93" t="n"/>
      <c r="S80" s="93" t="n"/>
      <c r="T80" s="95" t="n"/>
    </row>
    <row r="81" ht="22" customHeight="1">
      <c r="B81" s="140" t="n">
        <v>46623</v>
      </c>
      <c r="C81" s="141">
        <f>IFERROR(F81/E81,"-")</f>
        <v/>
      </c>
      <c r="D81" s="141">
        <f>IFERROR(H81/(G81*100),"-")</f>
        <v/>
      </c>
      <c r="E81" s="142">
        <f>SUM(K$12:K81)</f>
        <v/>
      </c>
      <c r="F81" s="142">
        <f>SUM(L$12:L81)</f>
        <v/>
      </c>
      <c r="G81" s="142">
        <f>SUM(M$12:M81)</f>
        <v/>
      </c>
      <c r="H81" s="142">
        <f>SUM(N$12:N81)</f>
        <v/>
      </c>
      <c r="I81" s="141">
        <f>IFERROR(L81/K81,"-")</f>
        <v/>
      </c>
      <c r="J81" s="141">
        <f>IFERROR(N81/(M81*100),"-")</f>
        <v/>
      </c>
      <c r="K81" s="142">
        <f>COUNTIF(P81:T81,"的中")+COUNTIF(P81:T81,"ハズレ")</f>
        <v/>
      </c>
      <c r="L81" s="142">
        <f>COUNTIF(P81:T81,"的中")</f>
        <v/>
      </c>
      <c r="M81" s="142">
        <f>SUM(P83:T83)</f>
        <v/>
      </c>
      <c r="N81" s="142">
        <f>SUMIFS(P82:T82,P81:T81,"的中")</f>
        <v/>
      </c>
      <c r="O81" s="90" t="inlineStr">
        <is>
          <t>結果</t>
        </is>
      </c>
      <c r="P81" s="89" t="inlineStr">
        <is>
          <t>未実施</t>
        </is>
      </c>
      <c r="Q81" s="89" t="inlineStr">
        <is>
          <t>未実施</t>
        </is>
      </c>
      <c r="R81" s="89" t="inlineStr">
        <is>
          <t>未実施</t>
        </is>
      </c>
      <c r="S81" s="89" t="inlineStr">
        <is>
          <t>未実施</t>
        </is>
      </c>
      <c r="T81" s="91" t="inlineStr">
        <is>
          <t>未実施</t>
        </is>
      </c>
    </row>
    <row r="82" ht="22" customHeight="1">
      <c r="B82" s="143" t="n"/>
      <c r="C82" s="144" t="n"/>
      <c r="D82" s="144" t="n"/>
      <c r="E82" s="144" t="n"/>
      <c r="F82" s="144" t="n"/>
      <c r="G82" s="144" t="n"/>
      <c r="H82" s="144" t="n"/>
      <c r="I82" s="144" t="n"/>
      <c r="J82" s="144" t="n"/>
      <c r="K82" s="144" t="n"/>
      <c r="L82" s="144" t="n"/>
      <c r="M82" s="144" t="n"/>
      <c r="N82" s="144" t="n"/>
      <c r="O82" s="88" t="inlineStr">
        <is>
          <t>払戻金</t>
        </is>
      </c>
      <c r="P82" s="16" t="n"/>
      <c r="Q82" s="16" t="n"/>
      <c r="R82" s="16" t="n"/>
      <c r="S82" s="16" t="n"/>
      <c r="T82" s="92" t="n"/>
    </row>
    <row r="83" ht="22" customHeight="1">
      <c r="B83" s="145" t="n"/>
      <c r="C83" s="146" t="n"/>
      <c r="D83" s="146" t="n"/>
      <c r="E83" s="146" t="n"/>
      <c r="F83" s="146" t="n"/>
      <c r="G83" s="146" t="n"/>
      <c r="H83" s="146" t="n"/>
      <c r="I83" s="146" t="n"/>
      <c r="J83" s="146" t="n"/>
      <c r="K83" s="146" t="n"/>
      <c r="L83" s="146" t="n"/>
      <c r="M83" s="146" t="n"/>
      <c r="N83" s="146" t="n"/>
      <c r="O83" s="94" t="inlineStr">
        <is>
          <t>購入点数</t>
        </is>
      </c>
      <c r="P83" s="93" t="n"/>
      <c r="Q83" s="93" t="n"/>
      <c r="R83" s="93" t="n"/>
      <c r="S83" s="93" t="n"/>
      <c r="T83" s="95" t="n"/>
    </row>
    <row r="84" ht="22" customHeight="1">
      <c r="B84" s="140" t="n">
        <v>46624</v>
      </c>
      <c r="C84" s="141">
        <f>IFERROR(F84/E84,"-")</f>
        <v/>
      </c>
      <c r="D84" s="141">
        <f>IFERROR(H84/(G84*100),"-")</f>
        <v/>
      </c>
      <c r="E84" s="142">
        <f>SUM(K$12:K84)</f>
        <v/>
      </c>
      <c r="F84" s="142">
        <f>SUM(L$12:L84)</f>
        <v/>
      </c>
      <c r="G84" s="142">
        <f>SUM(M$12:M84)</f>
        <v/>
      </c>
      <c r="H84" s="142">
        <f>SUM(N$12:N84)</f>
        <v/>
      </c>
      <c r="I84" s="141">
        <f>IFERROR(L84/K84,"-")</f>
        <v/>
      </c>
      <c r="J84" s="141">
        <f>IFERROR(N84/(M84*100),"-")</f>
        <v/>
      </c>
      <c r="K84" s="142">
        <f>COUNTIF(P84:T84,"的中")+COUNTIF(P84:T84,"ハズレ")</f>
        <v/>
      </c>
      <c r="L84" s="142">
        <f>COUNTIF(P84:T84,"的中")</f>
        <v/>
      </c>
      <c r="M84" s="142">
        <f>SUM(P86:T86)</f>
        <v/>
      </c>
      <c r="N84" s="142">
        <f>SUMIFS(P85:T85,P84:T84,"的中")</f>
        <v/>
      </c>
      <c r="O84" s="90" t="inlineStr">
        <is>
          <t>結果</t>
        </is>
      </c>
      <c r="P84" s="89" t="inlineStr">
        <is>
          <t>未実施</t>
        </is>
      </c>
      <c r="Q84" s="89" t="inlineStr">
        <is>
          <t>未実施</t>
        </is>
      </c>
      <c r="R84" s="89" t="inlineStr">
        <is>
          <t>未実施</t>
        </is>
      </c>
      <c r="S84" s="89" t="inlineStr">
        <is>
          <t>未実施</t>
        </is>
      </c>
      <c r="T84" s="91" t="inlineStr">
        <is>
          <t>未実施</t>
        </is>
      </c>
    </row>
    <row r="85" ht="22" customHeight="1">
      <c r="B85" s="143" t="n"/>
      <c r="C85" s="144" t="n"/>
      <c r="D85" s="144" t="n"/>
      <c r="E85" s="144" t="n"/>
      <c r="F85" s="144" t="n"/>
      <c r="G85" s="144" t="n"/>
      <c r="H85" s="144" t="n"/>
      <c r="I85" s="144" t="n"/>
      <c r="J85" s="144" t="n"/>
      <c r="K85" s="144" t="n"/>
      <c r="L85" s="144" t="n"/>
      <c r="M85" s="144" t="n"/>
      <c r="N85" s="144" t="n"/>
      <c r="O85" s="88" t="inlineStr">
        <is>
          <t>払戻金</t>
        </is>
      </c>
      <c r="P85" s="16" t="n"/>
      <c r="Q85" s="16" t="n"/>
      <c r="R85" s="16" t="n"/>
      <c r="S85" s="16" t="n"/>
      <c r="T85" s="92" t="n"/>
    </row>
    <row r="86" ht="22" customHeight="1">
      <c r="B86" s="145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94" t="inlineStr">
        <is>
          <t>購入点数</t>
        </is>
      </c>
      <c r="P86" s="93" t="n"/>
      <c r="Q86" s="93" t="n"/>
      <c r="R86" s="93" t="n"/>
      <c r="S86" s="93" t="n"/>
      <c r="T86" s="95" t="n"/>
    </row>
    <row r="87" ht="22" customHeight="1">
      <c r="B87" s="140" t="n">
        <v>46625</v>
      </c>
      <c r="C87" s="141">
        <f>IFERROR(F87/E87,"-")</f>
        <v/>
      </c>
      <c r="D87" s="141">
        <f>IFERROR(H87/(G87*100),"-")</f>
        <v/>
      </c>
      <c r="E87" s="142">
        <f>SUM(K$12:K87)</f>
        <v/>
      </c>
      <c r="F87" s="142">
        <f>SUM(L$12:L87)</f>
        <v/>
      </c>
      <c r="G87" s="142">
        <f>SUM(M$12:M87)</f>
        <v/>
      </c>
      <c r="H87" s="142">
        <f>SUM(N$12:N87)</f>
        <v/>
      </c>
      <c r="I87" s="141">
        <f>IFERROR(L87/K87,"-")</f>
        <v/>
      </c>
      <c r="J87" s="141">
        <f>IFERROR(N87/(M87*100),"-")</f>
        <v/>
      </c>
      <c r="K87" s="142">
        <f>COUNTIF(P87:T87,"的中")+COUNTIF(P87:T87,"ハズレ")</f>
        <v/>
      </c>
      <c r="L87" s="142">
        <f>COUNTIF(P87:T87,"的中")</f>
        <v/>
      </c>
      <c r="M87" s="142">
        <f>SUM(P89:T89)</f>
        <v/>
      </c>
      <c r="N87" s="142">
        <f>SUMIFS(P88:T88,P87:T87,"的中")</f>
        <v/>
      </c>
      <c r="O87" s="90" t="inlineStr">
        <is>
          <t>結果</t>
        </is>
      </c>
      <c r="P87" s="89" t="inlineStr">
        <is>
          <t>未実施</t>
        </is>
      </c>
      <c r="Q87" s="89" t="inlineStr">
        <is>
          <t>未実施</t>
        </is>
      </c>
      <c r="R87" s="89" t="inlineStr">
        <is>
          <t>未実施</t>
        </is>
      </c>
      <c r="S87" s="89" t="inlineStr">
        <is>
          <t>未実施</t>
        </is>
      </c>
      <c r="T87" s="91" t="inlineStr">
        <is>
          <t>未実施</t>
        </is>
      </c>
    </row>
    <row r="88" ht="22" customHeight="1">
      <c r="B88" s="143" t="n"/>
      <c r="C88" s="144" t="n"/>
      <c r="D88" s="144" t="n"/>
      <c r="E88" s="144" t="n"/>
      <c r="F88" s="144" t="n"/>
      <c r="G88" s="144" t="n"/>
      <c r="H88" s="144" t="n"/>
      <c r="I88" s="144" t="n"/>
      <c r="J88" s="144" t="n"/>
      <c r="K88" s="144" t="n"/>
      <c r="L88" s="144" t="n"/>
      <c r="M88" s="144" t="n"/>
      <c r="N88" s="144" t="n"/>
      <c r="O88" s="88" t="inlineStr">
        <is>
          <t>払戻金</t>
        </is>
      </c>
      <c r="P88" s="16" t="n"/>
      <c r="Q88" s="16" t="n"/>
      <c r="R88" s="16" t="n"/>
      <c r="S88" s="16" t="n"/>
      <c r="T88" s="92" t="n"/>
    </row>
    <row r="89" ht="22" customHeight="1">
      <c r="B89" s="145" t="n"/>
      <c r="C89" s="146" t="n"/>
      <c r="D89" s="146" t="n"/>
      <c r="E89" s="146" t="n"/>
      <c r="F89" s="146" t="n"/>
      <c r="G89" s="146" t="n"/>
      <c r="H89" s="146" t="n"/>
      <c r="I89" s="146" t="n"/>
      <c r="J89" s="146" t="n"/>
      <c r="K89" s="146" t="n"/>
      <c r="L89" s="146" t="n"/>
      <c r="M89" s="146" t="n"/>
      <c r="N89" s="146" t="n"/>
      <c r="O89" s="94" t="inlineStr">
        <is>
          <t>購入点数</t>
        </is>
      </c>
      <c r="P89" s="93" t="n"/>
      <c r="Q89" s="93" t="n"/>
      <c r="R89" s="93" t="n"/>
      <c r="S89" s="93" t="n"/>
      <c r="T89" s="95" t="n"/>
    </row>
    <row r="90" ht="22" customHeight="1">
      <c r="B90" s="140" t="n">
        <v>46626</v>
      </c>
      <c r="C90" s="141">
        <f>IFERROR(F90/E90,"-")</f>
        <v/>
      </c>
      <c r="D90" s="141">
        <f>IFERROR(H90/(G90*100),"-")</f>
        <v/>
      </c>
      <c r="E90" s="142">
        <f>SUM(K$12:K90)</f>
        <v/>
      </c>
      <c r="F90" s="142">
        <f>SUM(L$12:L90)</f>
        <v/>
      </c>
      <c r="G90" s="142">
        <f>SUM(M$12:M90)</f>
        <v/>
      </c>
      <c r="H90" s="142">
        <f>SUM(N$12:N90)</f>
        <v/>
      </c>
      <c r="I90" s="141">
        <f>IFERROR(L90/K90,"-")</f>
        <v/>
      </c>
      <c r="J90" s="141">
        <f>IFERROR(N90/(M90*100),"-")</f>
        <v/>
      </c>
      <c r="K90" s="142">
        <f>COUNTIF(P90:T90,"的中")+COUNTIF(P90:T90,"ハズレ")</f>
        <v/>
      </c>
      <c r="L90" s="142">
        <f>COUNTIF(P90:T90,"的中")</f>
        <v/>
      </c>
      <c r="M90" s="142">
        <f>SUM(P92:T92)</f>
        <v/>
      </c>
      <c r="N90" s="142">
        <f>SUMIFS(P91:T91,P90:T90,"的中")</f>
        <v/>
      </c>
      <c r="O90" s="90" t="inlineStr">
        <is>
          <t>結果</t>
        </is>
      </c>
      <c r="P90" s="89" t="inlineStr">
        <is>
          <t>未実施</t>
        </is>
      </c>
      <c r="Q90" s="89" t="inlineStr">
        <is>
          <t>未実施</t>
        </is>
      </c>
      <c r="R90" s="89" t="inlineStr">
        <is>
          <t>未実施</t>
        </is>
      </c>
      <c r="S90" s="89" t="inlineStr">
        <is>
          <t>未実施</t>
        </is>
      </c>
      <c r="T90" s="91" t="inlineStr">
        <is>
          <t>未実施</t>
        </is>
      </c>
    </row>
    <row r="91" ht="22" customHeight="1">
      <c r="B91" s="143" t="n"/>
      <c r="C91" s="144" t="n"/>
      <c r="D91" s="144" t="n"/>
      <c r="E91" s="144" t="n"/>
      <c r="F91" s="144" t="n"/>
      <c r="G91" s="144" t="n"/>
      <c r="H91" s="144" t="n"/>
      <c r="I91" s="144" t="n"/>
      <c r="J91" s="144" t="n"/>
      <c r="K91" s="144" t="n"/>
      <c r="L91" s="144" t="n"/>
      <c r="M91" s="144" t="n"/>
      <c r="N91" s="144" t="n"/>
      <c r="O91" s="88" t="inlineStr">
        <is>
          <t>払戻金</t>
        </is>
      </c>
      <c r="P91" s="16" t="n"/>
      <c r="Q91" s="16" t="n"/>
      <c r="R91" s="16" t="n"/>
      <c r="S91" s="16" t="n"/>
      <c r="T91" s="92" t="n"/>
    </row>
    <row r="92" ht="22" customHeight="1">
      <c r="B92" s="145" t="n"/>
      <c r="C92" s="146" t="n"/>
      <c r="D92" s="146" t="n"/>
      <c r="E92" s="146" t="n"/>
      <c r="F92" s="146" t="n"/>
      <c r="G92" s="146" t="n"/>
      <c r="H92" s="146" t="n"/>
      <c r="I92" s="146" t="n"/>
      <c r="J92" s="146" t="n"/>
      <c r="K92" s="146" t="n"/>
      <c r="L92" s="146" t="n"/>
      <c r="M92" s="146" t="n"/>
      <c r="N92" s="146" t="n"/>
      <c r="O92" s="94" t="inlineStr">
        <is>
          <t>購入点数</t>
        </is>
      </c>
      <c r="P92" s="93" t="n"/>
      <c r="Q92" s="93" t="n"/>
      <c r="R92" s="93" t="n"/>
      <c r="S92" s="93" t="n"/>
      <c r="T92" s="95" t="n"/>
    </row>
    <row r="93" ht="22" customHeight="1">
      <c r="B93" s="140" t="n">
        <v>46627</v>
      </c>
      <c r="C93" s="141">
        <f>IFERROR(F93/E93,"-")</f>
        <v/>
      </c>
      <c r="D93" s="141">
        <f>IFERROR(H93/(G93*100),"-")</f>
        <v/>
      </c>
      <c r="E93" s="142">
        <f>SUM(K$12:K93)</f>
        <v/>
      </c>
      <c r="F93" s="142">
        <f>SUM(L$12:L93)</f>
        <v/>
      </c>
      <c r="G93" s="142">
        <f>SUM(M$12:M93)</f>
        <v/>
      </c>
      <c r="H93" s="142">
        <f>SUM(N$12:N93)</f>
        <v/>
      </c>
      <c r="I93" s="141">
        <f>IFERROR(L93/K93,"-")</f>
        <v/>
      </c>
      <c r="J93" s="141">
        <f>IFERROR(N93/(M93*100),"-")</f>
        <v/>
      </c>
      <c r="K93" s="142">
        <f>COUNTIF(P93:T93,"的中")+COUNTIF(P93:T93,"ハズレ")</f>
        <v/>
      </c>
      <c r="L93" s="142">
        <f>COUNTIF(P93:T93,"的中")</f>
        <v/>
      </c>
      <c r="M93" s="142">
        <f>SUM(P95:T95)</f>
        <v/>
      </c>
      <c r="N93" s="142">
        <f>SUMIFS(P94:T94,P93:T93,"的中")</f>
        <v/>
      </c>
      <c r="O93" s="90" t="inlineStr">
        <is>
          <t>結果</t>
        </is>
      </c>
      <c r="P93" s="89" t="inlineStr">
        <is>
          <t>未実施</t>
        </is>
      </c>
      <c r="Q93" s="89" t="inlineStr">
        <is>
          <t>未実施</t>
        </is>
      </c>
      <c r="R93" s="89" t="inlineStr">
        <is>
          <t>未実施</t>
        </is>
      </c>
      <c r="S93" s="89" t="inlineStr">
        <is>
          <t>未実施</t>
        </is>
      </c>
      <c r="T93" s="91" t="inlineStr">
        <is>
          <t>未実施</t>
        </is>
      </c>
    </row>
    <row r="94" ht="22" customHeight="1">
      <c r="B94" s="143" t="n"/>
      <c r="C94" s="144" t="n"/>
      <c r="D94" s="144" t="n"/>
      <c r="E94" s="144" t="n"/>
      <c r="F94" s="144" t="n"/>
      <c r="G94" s="144" t="n"/>
      <c r="H94" s="144" t="n"/>
      <c r="I94" s="144" t="n"/>
      <c r="J94" s="144" t="n"/>
      <c r="K94" s="144" t="n"/>
      <c r="L94" s="144" t="n"/>
      <c r="M94" s="144" t="n"/>
      <c r="N94" s="144" t="n"/>
      <c r="O94" s="88" t="inlineStr">
        <is>
          <t>払戻金</t>
        </is>
      </c>
      <c r="P94" s="16" t="n"/>
      <c r="Q94" s="16" t="n"/>
      <c r="R94" s="16" t="n"/>
      <c r="S94" s="16" t="n"/>
      <c r="T94" s="92" t="n"/>
    </row>
    <row r="95" ht="22" customHeight="1">
      <c r="B95" s="145" t="n"/>
      <c r="C95" s="146" t="n"/>
      <c r="D95" s="146" t="n"/>
      <c r="E95" s="146" t="n"/>
      <c r="F95" s="146" t="n"/>
      <c r="G95" s="146" t="n"/>
      <c r="H95" s="146" t="n"/>
      <c r="I95" s="146" t="n"/>
      <c r="J95" s="146" t="n"/>
      <c r="K95" s="146" t="n"/>
      <c r="L95" s="146" t="n"/>
      <c r="M95" s="146" t="n"/>
      <c r="N95" s="146" t="n"/>
      <c r="O95" s="94" t="inlineStr">
        <is>
          <t>購入点数</t>
        </is>
      </c>
      <c r="P95" s="93" t="n"/>
      <c r="Q95" s="93" t="n"/>
      <c r="R95" s="93" t="n"/>
      <c r="S95" s="93" t="n"/>
      <c r="T95" s="95" t="n"/>
    </row>
    <row r="96" ht="22" customHeight="1">
      <c r="B96" s="140" t="n">
        <v>46628</v>
      </c>
      <c r="C96" s="141">
        <f>IFERROR(F96/E96,"-")</f>
        <v/>
      </c>
      <c r="D96" s="141">
        <f>IFERROR(H96/(G96*100),"-")</f>
        <v/>
      </c>
      <c r="E96" s="142">
        <f>SUM(K$12:K96)</f>
        <v/>
      </c>
      <c r="F96" s="142">
        <f>SUM(L$12:L96)</f>
        <v/>
      </c>
      <c r="G96" s="142">
        <f>SUM(M$12:M96)</f>
        <v/>
      </c>
      <c r="H96" s="142">
        <f>SUM(N$12:N96)</f>
        <v/>
      </c>
      <c r="I96" s="141">
        <f>IFERROR(L96/K96,"-")</f>
        <v/>
      </c>
      <c r="J96" s="141">
        <f>IFERROR(N96/(M96*100),"-")</f>
        <v/>
      </c>
      <c r="K96" s="142">
        <f>COUNTIF(P96:T96,"的中")+COUNTIF(P96:T96,"ハズレ")</f>
        <v/>
      </c>
      <c r="L96" s="142">
        <f>COUNTIF(P96:T96,"的中")</f>
        <v/>
      </c>
      <c r="M96" s="142">
        <f>SUM(P98:T98)</f>
        <v/>
      </c>
      <c r="N96" s="142">
        <f>SUMIFS(P97:T97,P96:T96,"的中")</f>
        <v/>
      </c>
      <c r="O96" s="90" t="inlineStr">
        <is>
          <t>結果</t>
        </is>
      </c>
      <c r="P96" s="89" t="inlineStr">
        <is>
          <t>未実施</t>
        </is>
      </c>
      <c r="Q96" s="89" t="inlineStr">
        <is>
          <t>未実施</t>
        </is>
      </c>
      <c r="R96" s="89" t="inlineStr">
        <is>
          <t>未実施</t>
        </is>
      </c>
      <c r="S96" s="89" t="inlineStr">
        <is>
          <t>未実施</t>
        </is>
      </c>
      <c r="T96" s="91" t="inlineStr">
        <is>
          <t>未実施</t>
        </is>
      </c>
    </row>
    <row r="97" ht="22" customHeight="1">
      <c r="B97" s="143" t="n"/>
      <c r="C97" s="144" t="n"/>
      <c r="D97" s="144" t="n"/>
      <c r="E97" s="144" t="n"/>
      <c r="F97" s="144" t="n"/>
      <c r="G97" s="144" t="n"/>
      <c r="H97" s="144" t="n"/>
      <c r="I97" s="144" t="n"/>
      <c r="J97" s="144" t="n"/>
      <c r="K97" s="144" t="n"/>
      <c r="L97" s="144" t="n"/>
      <c r="M97" s="144" t="n"/>
      <c r="N97" s="144" t="n"/>
      <c r="O97" s="88" t="inlineStr">
        <is>
          <t>払戻金</t>
        </is>
      </c>
      <c r="P97" s="16" t="n"/>
      <c r="Q97" s="16" t="n"/>
      <c r="R97" s="16" t="n"/>
      <c r="S97" s="16" t="n"/>
      <c r="T97" s="92" t="n"/>
    </row>
    <row r="98" ht="22" customHeight="1">
      <c r="B98" s="145" t="n"/>
      <c r="C98" s="146" t="n"/>
      <c r="D98" s="146" t="n"/>
      <c r="E98" s="146" t="n"/>
      <c r="F98" s="146" t="n"/>
      <c r="G98" s="146" t="n"/>
      <c r="H98" s="146" t="n"/>
      <c r="I98" s="146" t="n"/>
      <c r="J98" s="146" t="n"/>
      <c r="K98" s="146" t="n"/>
      <c r="L98" s="146" t="n"/>
      <c r="M98" s="146" t="n"/>
      <c r="N98" s="146" t="n"/>
      <c r="O98" s="94" t="inlineStr">
        <is>
          <t>購入点数</t>
        </is>
      </c>
      <c r="P98" s="93" t="n"/>
      <c r="Q98" s="93" t="n"/>
      <c r="R98" s="93" t="n"/>
      <c r="S98" s="93" t="n"/>
      <c r="T98" s="95" t="n"/>
    </row>
    <row r="99" ht="22" customHeight="1">
      <c r="B99" s="140" t="n">
        <v>46629</v>
      </c>
      <c r="C99" s="141">
        <f>IFERROR(F99/E99,"-")</f>
        <v/>
      </c>
      <c r="D99" s="141">
        <f>IFERROR(H99/(G99*100),"-")</f>
        <v/>
      </c>
      <c r="E99" s="142">
        <f>SUM(K$12:K99)</f>
        <v/>
      </c>
      <c r="F99" s="142">
        <f>SUM(L$12:L99)</f>
        <v/>
      </c>
      <c r="G99" s="142">
        <f>SUM(M$12:M99)</f>
        <v/>
      </c>
      <c r="H99" s="142">
        <f>SUM(N$12:N99)</f>
        <v/>
      </c>
      <c r="I99" s="141">
        <f>IFERROR(L99/K99,"-")</f>
        <v/>
      </c>
      <c r="J99" s="141">
        <f>IFERROR(N99/(M99*100),"-")</f>
        <v/>
      </c>
      <c r="K99" s="142">
        <f>COUNTIF(P99:T99,"的中")+COUNTIF(P99:T99,"ハズレ")</f>
        <v/>
      </c>
      <c r="L99" s="142">
        <f>COUNTIF(P99:T99,"的中")</f>
        <v/>
      </c>
      <c r="M99" s="142">
        <f>SUM(P101:T101)</f>
        <v/>
      </c>
      <c r="N99" s="142">
        <f>SUMIFS(P100:T100,P99:T99,"的中")</f>
        <v/>
      </c>
      <c r="O99" s="90" t="inlineStr">
        <is>
          <t>結果</t>
        </is>
      </c>
      <c r="P99" s="89" t="inlineStr">
        <is>
          <t>未実施</t>
        </is>
      </c>
      <c r="Q99" s="89" t="inlineStr">
        <is>
          <t>未実施</t>
        </is>
      </c>
      <c r="R99" s="89" t="inlineStr">
        <is>
          <t>未実施</t>
        </is>
      </c>
      <c r="S99" s="89" t="inlineStr">
        <is>
          <t>未実施</t>
        </is>
      </c>
      <c r="T99" s="91" t="inlineStr">
        <is>
          <t>未実施</t>
        </is>
      </c>
    </row>
    <row r="100" ht="22" customHeight="1">
      <c r="B100" s="143" t="n"/>
      <c r="C100" s="144" t="n"/>
      <c r="D100" s="144" t="n"/>
      <c r="E100" s="144" t="n"/>
      <c r="F100" s="144" t="n"/>
      <c r="G100" s="144" t="n"/>
      <c r="H100" s="144" t="n"/>
      <c r="I100" s="144" t="n"/>
      <c r="J100" s="144" t="n"/>
      <c r="K100" s="144" t="n"/>
      <c r="L100" s="144" t="n"/>
      <c r="M100" s="144" t="n"/>
      <c r="N100" s="144" t="n"/>
      <c r="O100" s="88" t="inlineStr">
        <is>
          <t>払戻金</t>
        </is>
      </c>
      <c r="P100" s="16" t="n"/>
      <c r="Q100" s="16" t="n"/>
      <c r="R100" s="16" t="n"/>
      <c r="S100" s="16" t="n"/>
      <c r="T100" s="92" t="n"/>
    </row>
    <row r="101" ht="22" customHeight="1">
      <c r="B101" s="145" t="n"/>
      <c r="C101" s="146" t="n"/>
      <c r="D101" s="146" t="n"/>
      <c r="E101" s="146" t="n"/>
      <c r="F101" s="146" t="n"/>
      <c r="G101" s="146" t="n"/>
      <c r="H101" s="146" t="n"/>
      <c r="I101" s="146" t="n"/>
      <c r="J101" s="146" t="n"/>
      <c r="K101" s="146" t="n"/>
      <c r="L101" s="146" t="n"/>
      <c r="M101" s="146" t="n"/>
      <c r="N101" s="146" t="n"/>
      <c r="O101" s="94" t="inlineStr">
        <is>
          <t>購入点数</t>
        </is>
      </c>
      <c r="P101" s="93" t="n"/>
      <c r="Q101" s="93" t="n"/>
      <c r="R101" s="93" t="n"/>
      <c r="S101" s="93" t="n"/>
      <c r="T101" s="95" t="n"/>
    </row>
    <row r="102" ht="22" customHeight="1">
      <c r="B102" s="140" t="n">
        <v>46630</v>
      </c>
      <c r="C102" s="141">
        <f>IFERROR(F102/E102,"-")</f>
        <v/>
      </c>
      <c r="D102" s="141">
        <f>IFERROR(H102/(G102*100),"-")</f>
        <v/>
      </c>
      <c r="E102" s="142">
        <f>SUM(K$12:K102)</f>
        <v/>
      </c>
      <c r="F102" s="142">
        <f>SUM(L$12:L102)</f>
        <v/>
      </c>
      <c r="G102" s="142">
        <f>SUM(M$12:M102)</f>
        <v/>
      </c>
      <c r="H102" s="142">
        <f>SUM(N$12:N102)</f>
        <v/>
      </c>
      <c r="I102" s="141">
        <f>IFERROR(L102/K102,"-")</f>
        <v/>
      </c>
      <c r="J102" s="141">
        <f>IFERROR(N102/(M102*100),"-")</f>
        <v/>
      </c>
      <c r="K102" s="142">
        <f>COUNTIF(P102:T102,"的中")+COUNTIF(P102:T102,"ハズレ")</f>
        <v/>
      </c>
      <c r="L102" s="142">
        <f>COUNTIF(P102:T102,"的中")</f>
        <v/>
      </c>
      <c r="M102" s="142">
        <f>SUM(P104:T104)</f>
        <v/>
      </c>
      <c r="N102" s="142">
        <f>SUMIFS(P103:T103,P102:T102,"的中")</f>
        <v/>
      </c>
      <c r="O102" s="90" t="inlineStr">
        <is>
          <t>結果</t>
        </is>
      </c>
      <c r="P102" s="89" t="inlineStr">
        <is>
          <t>未実施</t>
        </is>
      </c>
      <c r="Q102" s="89" t="inlineStr">
        <is>
          <t>未実施</t>
        </is>
      </c>
      <c r="R102" s="89" t="inlineStr">
        <is>
          <t>未実施</t>
        </is>
      </c>
      <c r="S102" s="89" t="inlineStr">
        <is>
          <t>未実施</t>
        </is>
      </c>
      <c r="T102" s="91" t="inlineStr">
        <is>
          <t>未実施</t>
        </is>
      </c>
    </row>
    <row r="103" ht="22" customHeight="1">
      <c r="B103" s="143" t="n"/>
      <c r="C103" s="144" t="n"/>
      <c r="D103" s="144" t="n"/>
      <c r="E103" s="144" t="n"/>
      <c r="F103" s="144" t="n"/>
      <c r="G103" s="144" t="n"/>
      <c r="H103" s="144" t="n"/>
      <c r="I103" s="144" t="n"/>
      <c r="J103" s="144" t="n"/>
      <c r="K103" s="144" t="n"/>
      <c r="L103" s="144" t="n"/>
      <c r="M103" s="144" t="n"/>
      <c r="N103" s="144" t="n"/>
      <c r="O103" s="88" t="inlineStr">
        <is>
          <t>払戻金</t>
        </is>
      </c>
      <c r="P103" s="16" t="n"/>
      <c r="Q103" s="16" t="n"/>
      <c r="R103" s="16" t="n"/>
      <c r="S103" s="16" t="n"/>
      <c r="T103" s="92" t="n"/>
    </row>
    <row r="104" ht="22" customHeight="1">
      <c r="B104" s="145" t="n"/>
      <c r="C104" s="146" t="n"/>
      <c r="D104" s="146" t="n"/>
      <c r="E104" s="146" t="n"/>
      <c r="F104" s="146" t="n"/>
      <c r="G104" s="146" t="n"/>
      <c r="H104" s="146" t="n"/>
      <c r="I104" s="146" t="n"/>
      <c r="J104" s="146" t="n"/>
      <c r="K104" s="146" t="n"/>
      <c r="L104" s="146" t="n"/>
      <c r="M104" s="146" t="n"/>
      <c r="N104" s="146" t="n"/>
      <c r="O104" s="94" t="inlineStr">
        <is>
          <t>購入点数</t>
        </is>
      </c>
      <c r="P104" s="93" t="n"/>
      <c r="Q104" s="93" t="n"/>
      <c r="R104" s="93" t="n"/>
      <c r="S104" s="93" t="n"/>
      <c r="T104" s="95" t="n"/>
    </row>
  </sheetData>
  <mergeCells count="407">
    <mergeCell ref="H69:H71"/>
    <mergeCell ref="C39:C41"/>
    <mergeCell ref="M21:M23"/>
    <mergeCell ref="K57:K59"/>
    <mergeCell ref="M57:M59"/>
    <mergeCell ref="C81:C83"/>
    <mergeCell ref="B36:B38"/>
    <mergeCell ref="D30:D32"/>
    <mergeCell ref="M96:M98"/>
    <mergeCell ref="G90:G92"/>
    <mergeCell ref="I90:I92"/>
    <mergeCell ref="O2:T8"/>
    <mergeCell ref="F87:F89"/>
    <mergeCell ref="G42:G44"/>
    <mergeCell ref="C63:C65"/>
    <mergeCell ref="F24:F26"/>
    <mergeCell ref="J84:J86"/>
    <mergeCell ref="J15:J17"/>
    <mergeCell ref="N48:N50"/>
    <mergeCell ref="F51:F53"/>
    <mergeCell ref="L15:L17"/>
    <mergeCell ref="H51:H53"/>
    <mergeCell ref="M45:M47"/>
    <mergeCell ref="E45:E47"/>
    <mergeCell ref="C12:C14"/>
    <mergeCell ref="G45:G47"/>
    <mergeCell ref="L81:L83"/>
    <mergeCell ref="D42:D44"/>
    <mergeCell ref="B2:C2"/>
    <mergeCell ref="I78:I80"/>
    <mergeCell ref="K78:K80"/>
    <mergeCell ref="H33:H35"/>
    <mergeCell ref="J33:J35"/>
    <mergeCell ref="I15:I17"/>
    <mergeCell ref="K15:K17"/>
    <mergeCell ref="E96:E98"/>
    <mergeCell ref="G96:G98"/>
    <mergeCell ref="B75:B77"/>
    <mergeCell ref="E63:E65"/>
    <mergeCell ref="K60:K62"/>
    <mergeCell ref="J99:J101"/>
    <mergeCell ref="M60:M62"/>
    <mergeCell ref="B102:B104"/>
    <mergeCell ref="B39:B41"/>
    <mergeCell ref="J30:J32"/>
    <mergeCell ref="N21:N23"/>
    <mergeCell ref="L30:L32"/>
    <mergeCell ref="K12:K14"/>
    <mergeCell ref="G33:G35"/>
    <mergeCell ref="G93:G95"/>
    <mergeCell ref="I33:I35"/>
    <mergeCell ref="I93:I95"/>
    <mergeCell ref="F96:F98"/>
    <mergeCell ref="N87:N89"/>
    <mergeCell ref="F90:F92"/>
    <mergeCell ref="H96:H98"/>
    <mergeCell ref="H90:H92"/>
    <mergeCell ref="M42:M44"/>
    <mergeCell ref="C66:C68"/>
    <mergeCell ref="E66:E68"/>
    <mergeCell ref="C102:C104"/>
    <mergeCell ref="N51:N53"/>
    <mergeCell ref="G84:G86"/>
    <mergeCell ref="B63:B65"/>
    <mergeCell ref="I84:I86"/>
    <mergeCell ref="M48:M50"/>
    <mergeCell ref="D27:D29"/>
    <mergeCell ref="D45:D47"/>
    <mergeCell ref="F18:F20"/>
    <mergeCell ref="F45:F47"/>
    <mergeCell ref="K81:K83"/>
    <mergeCell ref="H36:H38"/>
    <mergeCell ref="M81:M83"/>
    <mergeCell ref="J36:J38"/>
    <mergeCell ref="H72:H74"/>
    <mergeCell ref="H84:H86"/>
    <mergeCell ref="M66:M68"/>
    <mergeCell ref="E54:E56"/>
    <mergeCell ref="D63:D65"/>
    <mergeCell ref="J39:J41"/>
    <mergeCell ref="G99:G101"/>
    <mergeCell ref="N24:N26"/>
    <mergeCell ref="M63:M65"/>
    <mergeCell ref="I99:I101"/>
    <mergeCell ref="G36:G38"/>
    <mergeCell ref="I36:I38"/>
    <mergeCell ref="I30:I32"/>
    <mergeCell ref="K36:K38"/>
    <mergeCell ref="K30:K32"/>
    <mergeCell ref="N72:N74"/>
    <mergeCell ref="H93:H95"/>
    <mergeCell ref="J93:J95"/>
    <mergeCell ref="O10:T10"/>
    <mergeCell ref="E69:E71"/>
    <mergeCell ref="B60:B62"/>
    <mergeCell ref="L42:L44"/>
    <mergeCell ref="N42:N44"/>
    <mergeCell ref="J63:J65"/>
    <mergeCell ref="D66:D68"/>
    <mergeCell ref="C21:C23"/>
    <mergeCell ref="G54:G56"/>
    <mergeCell ref="B84:B86"/>
    <mergeCell ref="J75:J77"/>
    <mergeCell ref="C87:C89"/>
    <mergeCell ref="K24:K26"/>
    <mergeCell ref="C24:C26"/>
    <mergeCell ref="C18:C20"/>
    <mergeCell ref="E18:E20"/>
    <mergeCell ref="J81:J83"/>
    <mergeCell ref="B21:B23"/>
    <mergeCell ref="E51:E53"/>
    <mergeCell ref="D21:D23"/>
    <mergeCell ref="G69:G71"/>
    <mergeCell ref="C93:C95"/>
    <mergeCell ref="F12:F14"/>
    <mergeCell ref="N96:N98"/>
    <mergeCell ref="F66:F68"/>
    <mergeCell ref="I102:I104"/>
    <mergeCell ref="K102:K104"/>
    <mergeCell ref="H57:H59"/>
    <mergeCell ref="I39:I41"/>
    <mergeCell ref="K39:K41"/>
    <mergeCell ref="L63:L65"/>
    <mergeCell ref="H99:H101"/>
    <mergeCell ref="B99:B101"/>
    <mergeCell ref="M72:M74"/>
    <mergeCell ref="E12:E14"/>
    <mergeCell ref="E72:E74"/>
    <mergeCell ref="G72:G74"/>
    <mergeCell ref="J60:J62"/>
    <mergeCell ref="N45:N47"/>
    <mergeCell ref="L66:L68"/>
    <mergeCell ref="D69:D71"/>
    <mergeCell ref="N66:N68"/>
    <mergeCell ref="K21:K23"/>
    <mergeCell ref="G57:G59"/>
    <mergeCell ref="E24:E26"/>
    <mergeCell ref="I57:I59"/>
    <mergeCell ref="L93:L95"/>
    <mergeCell ref="K63:K65"/>
    <mergeCell ref="N93:N95"/>
    <mergeCell ref="C90:C92"/>
    <mergeCell ref="E90:E92"/>
    <mergeCell ref="K27:K29"/>
    <mergeCell ref="C27:C29"/>
    <mergeCell ref="M27:M29"/>
    <mergeCell ref="E27:E29"/>
    <mergeCell ref="M18:M20"/>
    <mergeCell ref="B87:B89"/>
    <mergeCell ref="D87:D89"/>
    <mergeCell ref="B24:B26"/>
    <mergeCell ref="D24:D26"/>
    <mergeCell ref="D18:D20"/>
    <mergeCell ref="G60:G62"/>
    <mergeCell ref="J48:J50"/>
    <mergeCell ref="B51:B53"/>
    <mergeCell ref="H15:H17"/>
    <mergeCell ref="D51:D53"/>
    <mergeCell ref="F69:F71"/>
    <mergeCell ref="G12:G14"/>
    <mergeCell ref="C45:C47"/>
    <mergeCell ref="H102:H104"/>
    <mergeCell ref="J102:J104"/>
    <mergeCell ref="B42:B44"/>
    <mergeCell ref="E78:E80"/>
    <mergeCell ref="H39:H41"/>
    <mergeCell ref="G78:G80"/>
    <mergeCell ref="E15:E17"/>
    <mergeCell ref="G15:G17"/>
    <mergeCell ref="F75:F77"/>
    <mergeCell ref="D12:D14"/>
    <mergeCell ref="L69:L71"/>
    <mergeCell ref="D72:D74"/>
    <mergeCell ref="N69:N71"/>
    <mergeCell ref="F72:F74"/>
    <mergeCell ref="M24:M26"/>
    <mergeCell ref="I60:I62"/>
    <mergeCell ref="K66:K68"/>
    <mergeCell ref="J21:J23"/>
    <mergeCell ref="H30:H32"/>
    <mergeCell ref="N54:N56"/>
    <mergeCell ref="L21:L23"/>
    <mergeCell ref="F57:F59"/>
    <mergeCell ref="K93:K95"/>
    <mergeCell ref="C33:C35"/>
    <mergeCell ref="M93:M95"/>
    <mergeCell ref="E33:E35"/>
    <mergeCell ref="E93:E95"/>
    <mergeCell ref="B96:B98"/>
    <mergeCell ref="F54:F56"/>
    <mergeCell ref="J87:J89"/>
    <mergeCell ref="B90:B92"/>
    <mergeCell ref="L87:L89"/>
    <mergeCell ref="D90:D92"/>
    <mergeCell ref="D96:D98"/>
    <mergeCell ref="B27:B29"/>
    <mergeCell ref="N60:N62"/>
    <mergeCell ref="L18:L20"/>
    <mergeCell ref="N18:N20"/>
    <mergeCell ref="I21:I23"/>
    <mergeCell ref="L51:L53"/>
    <mergeCell ref="N57:N59"/>
    <mergeCell ref="M12:M14"/>
    <mergeCell ref="I48:I50"/>
    <mergeCell ref="K48:K50"/>
    <mergeCell ref="C51:C53"/>
    <mergeCell ref="C48:C50"/>
    <mergeCell ref="B45:B47"/>
    <mergeCell ref="E81:E83"/>
    <mergeCell ref="G81:G83"/>
    <mergeCell ref="I81:I83"/>
    <mergeCell ref="D84:D86"/>
    <mergeCell ref="H54:H56"/>
    <mergeCell ref="L75:L77"/>
    <mergeCell ref="N75:N77"/>
    <mergeCell ref="F78:F80"/>
    <mergeCell ref="H78:H80"/>
    <mergeCell ref="F15:F17"/>
    <mergeCell ref="M69:M71"/>
    <mergeCell ref="C99:C101"/>
    <mergeCell ref="J24:J26"/>
    <mergeCell ref="E99:E101"/>
    <mergeCell ref="L24:L26"/>
    <mergeCell ref="H60:H62"/>
    <mergeCell ref="C36:C38"/>
    <mergeCell ref="E36:E38"/>
    <mergeCell ref="E30:E32"/>
    <mergeCell ref="G30:G32"/>
    <mergeCell ref="B33:B35"/>
    <mergeCell ref="J90:J92"/>
    <mergeCell ref="D33:D35"/>
    <mergeCell ref="L90:L92"/>
    <mergeCell ref="D93:D95"/>
    <mergeCell ref="N90:N92"/>
    <mergeCell ref="F93:F95"/>
    <mergeCell ref="C69:C71"/>
    <mergeCell ref="C96:C98"/>
    <mergeCell ref="K87:K89"/>
    <mergeCell ref="H42:H44"/>
    <mergeCell ref="F84:F86"/>
    <mergeCell ref="M87:M89"/>
    <mergeCell ref="J42:J44"/>
    <mergeCell ref="K18:K20"/>
    <mergeCell ref="C54:C56"/>
    <mergeCell ref="K51:K53"/>
    <mergeCell ref="F30:F32"/>
    <mergeCell ref="M51:M53"/>
    <mergeCell ref="L12:L14"/>
    <mergeCell ref="N12:N14"/>
    <mergeCell ref="H45:H47"/>
    <mergeCell ref="B48:B50"/>
    <mergeCell ref="D48:D50"/>
    <mergeCell ref="I42:I44"/>
    <mergeCell ref="K42:K44"/>
    <mergeCell ref="N78:N80"/>
    <mergeCell ref="F81:F83"/>
    <mergeCell ref="H81:H83"/>
    <mergeCell ref="M33:M35"/>
    <mergeCell ref="K69:K71"/>
    <mergeCell ref="C72:C74"/>
    <mergeCell ref="J96:J98"/>
    <mergeCell ref="E75:E77"/>
    <mergeCell ref="L96:L98"/>
    <mergeCell ref="G75:G77"/>
    <mergeCell ref="B66:B68"/>
    <mergeCell ref="E102:E104"/>
    <mergeCell ref="L27:L29"/>
    <mergeCell ref="G102:G104"/>
    <mergeCell ref="N27:N29"/>
    <mergeCell ref="E39:E41"/>
    <mergeCell ref="G39:G41"/>
    <mergeCell ref="F63:F65"/>
    <mergeCell ref="H63:H65"/>
    <mergeCell ref="D99:D101"/>
    <mergeCell ref="F99:F101"/>
    <mergeCell ref="D36:D38"/>
    <mergeCell ref="F36:F38"/>
    <mergeCell ref="I72:I74"/>
    <mergeCell ref="K72:K74"/>
    <mergeCell ref="I96:I98"/>
    <mergeCell ref="M54:M56"/>
    <mergeCell ref="K90:K92"/>
    <mergeCell ref="M90:M92"/>
    <mergeCell ref="J45:J47"/>
    <mergeCell ref="L45:L47"/>
    <mergeCell ref="H66:H68"/>
    <mergeCell ref="C57:C59"/>
    <mergeCell ref="E57:E59"/>
    <mergeCell ref="L84:L86"/>
    <mergeCell ref="G63:G65"/>
    <mergeCell ref="N84:N86"/>
    <mergeCell ref="B54:B56"/>
    <mergeCell ref="D54:D56"/>
    <mergeCell ref="N15:N17"/>
    <mergeCell ref="J51:J53"/>
    <mergeCell ref="G27:G29"/>
    <mergeCell ref="I27:I29"/>
    <mergeCell ref="I45:I47"/>
    <mergeCell ref="K45:K47"/>
    <mergeCell ref="N81:N83"/>
    <mergeCell ref="B18:B20"/>
    <mergeCell ref="M78:M80"/>
    <mergeCell ref="L33:L35"/>
    <mergeCell ref="N33:N35"/>
    <mergeCell ref="F33:F35"/>
    <mergeCell ref="B69:B71"/>
    <mergeCell ref="M15:M17"/>
    <mergeCell ref="H2:N8"/>
    <mergeCell ref="D75:D77"/>
    <mergeCell ref="K96:K98"/>
    <mergeCell ref="I63:I65"/>
    <mergeCell ref="L99:L101"/>
    <mergeCell ref="D102:D104"/>
    <mergeCell ref="J66:J68"/>
    <mergeCell ref="N99:N101"/>
    <mergeCell ref="F102:F104"/>
    <mergeCell ref="L36:L38"/>
    <mergeCell ref="D39:D41"/>
    <mergeCell ref="C78:C80"/>
    <mergeCell ref="F39:F41"/>
    <mergeCell ref="N30:N32"/>
    <mergeCell ref="K33:K35"/>
    <mergeCell ref="L48:L50"/>
    <mergeCell ref="B12:B14"/>
    <mergeCell ref="J69:J71"/>
    <mergeCell ref="B72:B74"/>
    <mergeCell ref="E60:E62"/>
    <mergeCell ref="G66:G68"/>
    <mergeCell ref="I66:I68"/>
    <mergeCell ref="F21:F23"/>
    <mergeCell ref="B57:B59"/>
    <mergeCell ref="H21:H23"/>
    <mergeCell ref="D57:D59"/>
    <mergeCell ref="K84:K86"/>
    <mergeCell ref="C84:C86"/>
    <mergeCell ref="M84:M86"/>
    <mergeCell ref="E84:E86"/>
    <mergeCell ref="M75:M77"/>
    <mergeCell ref="H87:H89"/>
    <mergeCell ref="F27:F29"/>
    <mergeCell ref="H27:H29"/>
    <mergeCell ref="H18:H20"/>
    <mergeCell ref="J18:J20"/>
    <mergeCell ref="E21:E23"/>
    <mergeCell ref="N36:N38"/>
    <mergeCell ref="J72:J74"/>
    <mergeCell ref="J57:J59"/>
    <mergeCell ref="E48:E50"/>
    <mergeCell ref="C15:C17"/>
    <mergeCell ref="G48:G50"/>
    <mergeCell ref="L102:L104"/>
    <mergeCell ref="N102:N104"/>
    <mergeCell ref="L39:L41"/>
    <mergeCell ref="N39:N41"/>
    <mergeCell ref="K99:K101"/>
    <mergeCell ref="M99:M101"/>
    <mergeCell ref="J54:J56"/>
    <mergeCell ref="L54:L56"/>
    <mergeCell ref="H75:H77"/>
    <mergeCell ref="B78:B80"/>
    <mergeCell ref="M36:M38"/>
    <mergeCell ref="D78:D80"/>
    <mergeCell ref="M30:M32"/>
    <mergeCell ref="B15:B17"/>
    <mergeCell ref="L72:L74"/>
    <mergeCell ref="I69:I71"/>
    <mergeCell ref="H24:H26"/>
    <mergeCell ref="L57:L59"/>
    <mergeCell ref="D60:D62"/>
    <mergeCell ref="F60:F62"/>
    <mergeCell ref="N63:N65"/>
    <mergeCell ref="I54:I56"/>
    <mergeCell ref="C30:C32"/>
    <mergeCell ref="G21:G23"/>
    <mergeCell ref="K54:K56"/>
    <mergeCell ref="B93:B95"/>
    <mergeCell ref="E87:E89"/>
    <mergeCell ref="G87:G89"/>
    <mergeCell ref="I87:I89"/>
    <mergeCell ref="F42:F44"/>
    <mergeCell ref="G24:G26"/>
    <mergeCell ref="C60:C62"/>
    <mergeCell ref="I24:I26"/>
    <mergeCell ref="G18:G20"/>
    <mergeCell ref="I18:I20"/>
    <mergeCell ref="D15:D17"/>
    <mergeCell ref="G51:G53"/>
    <mergeCell ref="B30:B32"/>
    <mergeCell ref="I51:I53"/>
    <mergeCell ref="H12:H14"/>
    <mergeCell ref="J12:J14"/>
    <mergeCell ref="F48:F50"/>
    <mergeCell ref="H48:H50"/>
    <mergeCell ref="C42:C44"/>
    <mergeCell ref="M102:M104"/>
    <mergeCell ref="E42:E44"/>
    <mergeCell ref="J78:J80"/>
    <mergeCell ref="M39:M41"/>
    <mergeCell ref="B81:B83"/>
    <mergeCell ref="L78:L80"/>
    <mergeCell ref="D81:D83"/>
    <mergeCell ref="I75:I77"/>
    <mergeCell ref="K75:K77"/>
    <mergeCell ref="C75:C77"/>
    <mergeCell ref="I12:I14"/>
    <mergeCell ref="L60:L62"/>
    <mergeCell ref="J27:J29"/>
  </mergeCells>
  <dataValidations count="62">
    <dataValidation sqref="P12:T12" showDropDown="0" showInputMessage="0" showErrorMessage="0" allowBlank="0" type="list">
      <formula1>"的中,ハズレ,未実施"</formula1>
    </dataValidation>
    <dataValidation sqref="P13:T14" showDropDown="0" showInputMessage="0" showErrorMessage="0" allowBlank="0" type="whole" operator="between">
      <formula1>0</formula1>
      <formula2>100000000</formula2>
    </dataValidation>
    <dataValidation sqref="P15:T15" showDropDown="0" showInputMessage="0" showErrorMessage="0" allowBlank="0" type="list">
      <formula1>"的中,ハズレ,未実施"</formula1>
    </dataValidation>
    <dataValidation sqref="P16:T17" showDropDown="0" showInputMessage="0" showErrorMessage="0" allowBlank="0" type="whole" operator="between">
      <formula1>0</formula1>
      <formula2>100000000</formula2>
    </dataValidation>
    <dataValidation sqref="P18:T18" showDropDown="0" showInputMessage="0" showErrorMessage="0" allowBlank="0" type="list">
      <formula1>"的中,ハズレ,未実施"</formula1>
    </dataValidation>
    <dataValidation sqref="P19:T20" showDropDown="0" showInputMessage="0" showErrorMessage="0" allowBlank="0" type="whole" operator="between">
      <formula1>0</formula1>
      <formula2>100000000</formula2>
    </dataValidation>
    <dataValidation sqref="P21:T21" showDropDown="0" showInputMessage="0" showErrorMessage="0" allowBlank="0" type="list">
      <formula1>"的中,ハズレ,未実施"</formula1>
    </dataValidation>
    <dataValidation sqref="P22:T23" showDropDown="0" showInputMessage="0" showErrorMessage="0" allowBlank="0" type="whole" operator="between">
      <formula1>0</formula1>
      <formula2>100000000</formula2>
    </dataValidation>
    <dataValidation sqref="P24:T24" showDropDown="0" showInputMessage="0" showErrorMessage="0" allowBlank="0" type="list">
      <formula1>"的中,ハズレ,未実施"</formula1>
    </dataValidation>
    <dataValidation sqref="P25:T26" showDropDown="0" showInputMessage="0" showErrorMessage="0" allowBlank="0" type="whole" operator="between">
      <formula1>0</formula1>
      <formula2>100000000</formula2>
    </dataValidation>
    <dataValidation sqref="P27:T27" showDropDown="0" showInputMessage="0" showErrorMessage="0" allowBlank="0" type="list">
      <formula1>"的中,ハズレ,未実施"</formula1>
    </dataValidation>
    <dataValidation sqref="P28:T29" showDropDown="0" showInputMessage="0" showErrorMessage="0" allowBlank="0" type="whole" operator="between">
      <formula1>0</formula1>
      <formula2>100000000</formula2>
    </dataValidation>
    <dataValidation sqref="P30:T30" showDropDown="0" showInputMessage="0" showErrorMessage="0" allowBlank="0" type="list">
      <formula1>"的中,ハズレ,未実施"</formula1>
    </dataValidation>
    <dataValidation sqref="P31:T32" showDropDown="0" showInputMessage="0" showErrorMessage="0" allowBlank="0" type="whole" operator="between">
      <formula1>0</formula1>
      <formula2>100000000</formula2>
    </dataValidation>
    <dataValidation sqref="P33:T33" showDropDown="0" showInputMessage="0" showErrorMessage="0" allowBlank="0" type="list">
      <formula1>"的中,ハズレ,未実施"</formula1>
    </dataValidation>
    <dataValidation sqref="P34:T35" showDropDown="0" showInputMessage="0" showErrorMessage="0" allowBlank="0" type="whole" operator="between">
      <formula1>0</formula1>
      <formula2>100000000</formula2>
    </dataValidation>
    <dataValidation sqref="P36:T36" showDropDown="0" showInputMessage="0" showErrorMessage="0" allowBlank="0" type="list">
      <formula1>"的中,ハズレ,未実施"</formula1>
    </dataValidation>
    <dataValidation sqref="P37:T38" showDropDown="0" showInputMessage="0" showErrorMessage="0" allowBlank="0" type="whole" operator="between">
      <formula1>0</formula1>
      <formula2>100000000</formula2>
    </dataValidation>
    <dataValidation sqref="P39:T39" showDropDown="0" showInputMessage="0" showErrorMessage="0" allowBlank="0" type="list">
      <formula1>"的中,ハズレ,未実施"</formula1>
    </dataValidation>
    <dataValidation sqref="P40:T41" showDropDown="0" showInputMessage="0" showErrorMessage="0" allowBlank="0" type="whole" operator="between">
      <formula1>0</formula1>
      <formula2>100000000</formula2>
    </dataValidation>
    <dataValidation sqref="P42:T42" showDropDown="0" showInputMessage="0" showErrorMessage="0" allowBlank="0" type="list">
      <formula1>"的中,ハズレ,未実施"</formula1>
    </dataValidation>
    <dataValidation sqref="P43:T44" showDropDown="0" showInputMessage="0" showErrorMessage="0" allowBlank="0" type="whole" operator="between">
      <formula1>0</formula1>
      <formula2>100000000</formula2>
    </dataValidation>
    <dataValidation sqref="P45:T45" showDropDown="0" showInputMessage="0" showErrorMessage="0" allowBlank="0" type="list">
      <formula1>"的中,ハズレ,未実施"</formula1>
    </dataValidation>
    <dataValidation sqref="P46:T47" showDropDown="0" showInputMessage="0" showErrorMessage="0" allowBlank="0" type="whole" operator="between">
      <formula1>0</formula1>
      <formula2>100000000</formula2>
    </dataValidation>
    <dataValidation sqref="P48:T48" showDropDown="0" showInputMessage="0" showErrorMessage="0" allowBlank="0" type="list">
      <formula1>"的中,ハズレ,未実施"</formula1>
    </dataValidation>
    <dataValidation sqref="P49:T50" showDropDown="0" showInputMessage="0" showErrorMessage="0" allowBlank="0" type="whole" operator="between">
      <formula1>0</formula1>
      <formula2>100000000</formula2>
    </dataValidation>
    <dataValidation sqref="P51:T51" showDropDown="0" showInputMessage="0" showErrorMessage="0" allowBlank="0" type="list">
      <formula1>"的中,ハズレ,未実施"</formula1>
    </dataValidation>
    <dataValidation sqref="P52:T53" showDropDown="0" showInputMessage="0" showErrorMessage="0" allowBlank="0" type="whole" operator="between">
      <formula1>0</formula1>
      <formula2>100000000</formula2>
    </dataValidation>
    <dataValidation sqref="P54:T54" showDropDown="0" showInputMessage="0" showErrorMessage="0" allowBlank="0" type="list">
      <formula1>"的中,ハズレ,未実施"</formula1>
    </dataValidation>
    <dataValidation sqref="P55:T56" showDropDown="0" showInputMessage="0" showErrorMessage="0" allowBlank="0" type="whole" operator="between">
      <formula1>0</formula1>
      <formula2>100000000</formula2>
    </dataValidation>
    <dataValidation sqref="P57:T57" showDropDown="0" showInputMessage="0" showErrorMessage="0" allowBlank="0" type="list">
      <formula1>"的中,ハズレ,未実施"</formula1>
    </dataValidation>
    <dataValidation sqref="P58:T59" showDropDown="0" showInputMessage="0" showErrorMessage="0" allowBlank="0" type="whole" operator="between">
      <formula1>0</formula1>
      <formula2>100000000</formula2>
    </dataValidation>
    <dataValidation sqref="P60:T60" showDropDown="0" showInputMessage="0" showErrorMessage="0" allowBlank="0" type="list">
      <formula1>"的中,ハズレ,未実施"</formula1>
    </dataValidation>
    <dataValidation sqref="P61:T62" showDropDown="0" showInputMessage="0" showErrorMessage="0" allowBlank="0" type="whole" operator="between">
      <formula1>0</formula1>
      <formula2>100000000</formula2>
    </dataValidation>
    <dataValidation sqref="P63:T63" showDropDown="0" showInputMessage="0" showErrorMessage="0" allowBlank="0" type="list">
      <formula1>"的中,ハズレ,未実施"</formula1>
    </dataValidation>
    <dataValidation sqref="P64:T65" showDropDown="0" showInputMessage="0" showErrorMessage="0" allowBlank="0" type="whole" operator="between">
      <formula1>0</formula1>
      <formula2>100000000</formula2>
    </dataValidation>
    <dataValidation sqref="P66:T66" showDropDown="0" showInputMessage="0" showErrorMessage="0" allowBlank="0" type="list">
      <formula1>"的中,ハズレ,未実施"</formula1>
    </dataValidation>
    <dataValidation sqref="P67:T68" showDropDown="0" showInputMessage="0" showErrorMessage="0" allowBlank="0" type="whole" operator="between">
      <formula1>0</formula1>
      <formula2>100000000</formula2>
    </dataValidation>
    <dataValidation sqref="P69:T69" showDropDown="0" showInputMessage="0" showErrorMessage="0" allowBlank="0" type="list">
      <formula1>"的中,ハズレ,未実施"</formula1>
    </dataValidation>
    <dataValidation sqref="P70:T71" showDropDown="0" showInputMessage="0" showErrorMessage="0" allowBlank="0" type="whole" operator="between">
      <formula1>0</formula1>
      <formula2>100000000</formula2>
    </dataValidation>
    <dataValidation sqref="P72:T72" showDropDown="0" showInputMessage="0" showErrorMessage="0" allowBlank="0" type="list">
      <formula1>"的中,ハズレ,未実施"</formula1>
    </dataValidation>
    <dataValidation sqref="P73:T74" showDropDown="0" showInputMessage="0" showErrorMessage="0" allowBlank="0" type="whole" operator="between">
      <formula1>0</formula1>
      <formula2>100000000</formula2>
    </dataValidation>
    <dataValidation sqref="P75:T75" showDropDown="0" showInputMessage="0" showErrorMessage="0" allowBlank="0" type="list">
      <formula1>"的中,ハズレ,未実施"</formula1>
    </dataValidation>
    <dataValidation sqref="P76:T77" showDropDown="0" showInputMessage="0" showErrorMessage="0" allowBlank="0" type="whole" operator="between">
      <formula1>0</formula1>
      <formula2>100000000</formula2>
    </dataValidation>
    <dataValidation sqref="P78:T78" showDropDown="0" showInputMessage="0" showErrorMessage="0" allowBlank="0" type="list">
      <formula1>"的中,ハズレ,未実施"</formula1>
    </dataValidation>
    <dataValidation sqref="P79:T80" showDropDown="0" showInputMessage="0" showErrorMessage="0" allowBlank="0" type="whole" operator="between">
      <formula1>0</formula1>
      <formula2>100000000</formula2>
    </dataValidation>
    <dataValidation sqref="P81:T81" showDropDown="0" showInputMessage="0" showErrorMessage="0" allowBlank="0" type="list">
      <formula1>"的中,ハズレ,未実施"</formula1>
    </dataValidation>
    <dataValidation sqref="P82:T83" showDropDown="0" showInputMessage="0" showErrorMessage="0" allowBlank="0" type="whole" operator="between">
      <formula1>0</formula1>
      <formula2>100000000</formula2>
    </dataValidation>
    <dataValidation sqref="P84:T84" showDropDown="0" showInputMessage="0" showErrorMessage="0" allowBlank="0" type="list">
      <formula1>"的中,ハズレ,未実施"</formula1>
    </dataValidation>
    <dataValidation sqref="P85:T86" showDropDown="0" showInputMessage="0" showErrorMessage="0" allowBlank="0" type="whole" operator="between">
      <formula1>0</formula1>
      <formula2>100000000</formula2>
    </dataValidation>
    <dataValidation sqref="P87:T87" showDropDown="0" showInputMessage="0" showErrorMessage="0" allowBlank="0" type="list">
      <formula1>"的中,ハズレ,未実施"</formula1>
    </dataValidation>
    <dataValidation sqref="P88:T89" showDropDown="0" showInputMessage="0" showErrorMessage="0" allowBlank="0" type="whole" operator="between">
      <formula1>0</formula1>
      <formula2>100000000</formula2>
    </dataValidation>
    <dataValidation sqref="P90:T90" showDropDown="0" showInputMessage="0" showErrorMessage="0" allowBlank="0" type="list">
      <formula1>"的中,ハズレ,未実施"</formula1>
    </dataValidation>
    <dataValidation sqref="P91:T92" showDropDown="0" showInputMessage="0" showErrorMessage="0" allowBlank="0" type="whole" operator="between">
      <formula1>0</formula1>
      <formula2>100000000</formula2>
    </dataValidation>
    <dataValidation sqref="P93:T93" showDropDown="0" showInputMessage="0" showErrorMessage="0" allowBlank="0" type="list">
      <formula1>"的中,ハズレ,未実施"</formula1>
    </dataValidation>
    <dataValidation sqref="P94:T95" showDropDown="0" showInputMessage="0" showErrorMessage="0" allowBlank="0" type="whole" operator="between">
      <formula1>0</formula1>
      <formula2>100000000</formula2>
    </dataValidation>
    <dataValidation sqref="P96:T96" showDropDown="0" showInputMessage="0" showErrorMessage="0" allowBlank="0" type="list">
      <formula1>"的中,ハズレ,未実施"</formula1>
    </dataValidation>
    <dataValidation sqref="P97:T98" showDropDown="0" showInputMessage="0" showErrorMessage="0" allowBlank="0" type="whole" operator="between">
      <formula1>0</formula1>
      <formula2>100000000</formula2>
    </dataValidation>
    <dataValidation sqref="P99:T99" showDropDown="0" showInputMessage="0" showErrorMessage="0" allowBlank="0" type="list">
      <formula1>"的中,ハズレ,未実施"</formula1>
    </dataValidation>
    <dataValidation sqref="P100:T101" showDropDown="0" showInputMessage="0" showErrorMessage="0" allowBlank="0" type="whole" operator="between">
      <formula1>0</formula1>
      <formula2>100000000</formula2>
    </dataValidation>
    <dataValidation sqref="P102:T102" showDropDown="0" showInputMessage="0" showErrorMessage="0" allowBlank="0" type="list">
      <formula1>"的中,ハズレ,未実施"</formula1>
    </dataValidation>
    <dataValidation sqref="P103:T104" showDropDown="0" showInputMessage="0" showErrorMessage="0" allowBlank="0" type="whole" operator="between">
      <formula1>0</formula1>
      <formula2>100000000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2026-09-01T14:31:05Z</dcterms:created>
  <dcterms:modified xsi:type="dcterms:W3CDTF">2026-09-01T14:31:22Z</dcterms:modified>
</cp:coreProperties>
</file>